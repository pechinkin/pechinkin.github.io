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lli4\OneDrive\Рабочий стол\"/>
    </mc:Choice>
  </mc:AlternateContent>
  <xr:revisionPtr revIDLastSave="0" documentId="13_ncr:1_{A73EE5EB-F564-428B-A12A-D15380864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S18" i="1"/>
  <c r="AF16" i="1"/>
  <c r="AD16" i="1"/>
  <c r="AA16" i="1"/>
  <c r="X16" i="1"/>
  <c r="U16" i="1"/>
  <c r="AC16" i="1"/>
  <c r="Z16" i="1"/>
  <c r="W16" i="1"/>
  <c r="T16" i="1"/>
  <c r="AF15" i="1"/>
  <c r="AE15" i="1"/>
  <c r="AC15" i="1"/>
  <c r="AB15" i="1"/>
  <c r="Z15" i="1"/>
  <c r="X15" i="1"/>
  <c r="V15" i="1"/>
  <c r="T15" i="1"/>
  <c r="AF13" i="1"/>
  <c r="AF14" i="1"/>
  <c r="AD13" i="1"/>
  <c r="AD14" i="1"/>
  <c r="AB13" i="1"/>
  <c r="AB14" i="1"/>
  <c r="Z13" i="1"/>
  <c r="Z14" i="1"/>
  <c r="X14" i="1"/>
  <c r="X13" i="1"/>
  <c r="V14" i="1"/>
  <c r="V13" i="1"/>
  <c r="T14" i="1"/>
  <c r="T13" i="1"/>
  <c r="AF11" i="1"/>
  <c r="AF12" i="1"/>
  <c r="AD11" i="1"/>
  <c r="AD12" i="1"/>
  <c r="AB11" i="1"/>
  <c r="AB12" i="1"/>
  <c r="Z11" i="1"/>
  <c r="Z12" i="1"/>
  <c r="W11" i="1"/>
  <c r="W12" i="1"/>
  <c r="T11" i="1"/>
  <c r="T12" i="1"/>
  <c r="AF10" i="1"/>
  <c r="AD10" i="1"/>
  <c r="AB10" i="1"/>
  <c r="Z10" i="1"/>
  <c r="W10" i="1"/>
  <c r="T10" i="1"/>
  <c r="AF9" i="1"/>
  <c r="AC9" i="1"/>
  <c r="Z9" i="1"/>
  <c r="X9" i="1"/>
  <c r="W9" i="1" s="1"/>
  <c r="T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B90" i="1"/>
  <c r="C84" i="1"/>
  <c r="D84" i="1"/>
  <c r="E84" i="1"/>
  <c r="F84" i="1"/>
  <c r="G84" i="1"/>
  <c r="B84" i="1"/>
  <c r="C78" i="1"/>
  <c r="D78" i="1"/>
  <c r="E78" i="1"/>
  <c r="F78" i="1"/>
  <c r="G78" i="1"/>
  <c r="H78" i="1"/>
  <c r="I78" i="1"/>
  <c r="J78" i="1"/>
  <c r="B78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B72" i="1"/>
  <c r="C66" i="1"/>
  <c r="D66" i="1"/>
  <c r="E66" i="1"/>
  <c r="F66" i="1"/>
  <c r="G66" i="1"/>
  <c r="H66" i="1"/>
  <c r="I66" i="1"/>
  <c r="J66" i="1"/>
  <c r="B66" i="1"/>
  <c r="C60" i="1"/>
  <c r="D60" i="1"/>
  <c r="E60" i="1"/>
  <c r="F60" i="1"/>
  <c r="G60" i="1"/>
  <c r="H60" i="1"/>
  <c r="I60" i="1"/>
  <c r="J60" i="1"/>
  <c r="K60" i="1"/>
  <c r="B60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B54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B48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B42" i="1"/>
  <c r="C36" i="1"/>
  <c r="D36" i="1"/>
  <c r="E36" i="1"/>
  <c r="F36" i="1"/>
  <c r="G36" i="1"/>
  <c r="H36" i="1"/>
  <c r="I36" i="1"/>
  <c r="J36" i="1"/>
  <c r="K36" i="1"/>
  <c r="L36" i="1"/>
  <c r="M36" i="1"/>
  <c r="B36" i="1"/>
  <c r="C30" i="1"/>
  <c r="D30" i="1"/>
  <c r="E30" i="1"/>
  <c r="F30" i="1"/>
  <c r="G30" i="1"/>
  <c r="H30" i="1"/>
  <c r="I30" i="1"/>
  <c r="J30" i="1"/>
  <c r="K30" i="1"/>
  <c r="L30" i="1"/>
  <c r="B30" i="1"/>
  <c r="C24" i="1"/>
  <c r="D24" i="1"/>
  <c r="E24" i="1"/>
  <c r="F24" i="1"/>
  <c r="G24" i="1"/>
  <c r="H24" i="1"/>
  <c r="B24" i="1"/>
  <c r="C18" i="1"/>
  <c r="D18" i="1"/>
  <c r="E18" i="1"/>
  <c r="F18" i="1"/>
  <c r="G18" i="1"/>
  <c r="H18" i="1"/>
  <c r="I18" i="1"/>
  <c r="B18" i="1"/>
  <c r="C12" i="1"/>
  <c r="D12" i="1"/>
  <c r="E12" i="1"/>
  <c r="F12" i="1"/>
  <c r="G12" i="1"/>
  <c r="H12" i="1"/>
  <c r="I12" i="1"/>
  <c r="J12" i="1"/>
  <c r="B12" i="1"/>
  <c r="C6" i="1"/>
  <c r="D6" i="1"/>
  <c r="E6" i="1"/>
  <c r="F6" i="1"/>
  <c r="G6" i="1"/>
  <c r="H6" i="1"/>
  <c r="I6" i="1"/>
  <c r="B6" i="1"/>
  <c r="R42" i="1" l="1"/>
  <c r="H43" i="1" s="1"/>
  <c r="O30" i="1"/>
  <c r="J31" i="1" s="1"/>
  <c r="L78" i="1"/>
  <c r="I79" i="1" s="1"/>
  <c r="R54" i="1"/>
  <c r="J55" i="1" s="1"/>
  <c r="R90" i="1"/>
  <c r="J91" i="1" s="1"/>
  <c r="R72" i="1"/>
  <c r="C73" i="1" s="1"/>
  <c r="K18" i="1"/>
  <c r="D19" i="1" s="1"/>
  <c r="E79" i="1"/>
  <c r="L60" i="1"/>
  <c r="E61" i="1" s="1"/>
  <c r="I84" i="1"/>
  <c r="B85" i="1" s="1"/>
  <c r="K24" i="1"/>
  <c r="D25" i="1" s="1"/>
  <c r="O36" i="1"/>
  <c r="B37" i="1" s="1"/>
  <c r="L12" i="1"/>
  <c r="E13" i="1" s="1"/>
  <c r="L66" i="1"/>
  <c r="D67" i="1" s="1"/>
  <c r="R48" i="1"/>
  <c r="B49" i="1" s="1"/>
  <c r="K6" i="1"/>
  <c r="H7" i="1" s="1"/>
  <c r="D31" i="1" l="1"/>
  <c r="E55" i="1"/>
  <c r="J43" i="1"/>
  <c r="L43" i="1"/>
  <c r="B43" i="1"/>
  <c r="L31" i="1"/>
  <c r="O43" i="1"/>
  <c r="E43" i="1"/>
  <c r="F43" i="1"/>
  <c r="E31" i="1"/>
  <c r="D43" i="1"/>
  <c r="F55" i="1"/>
  <c r="C43" i="1"/>
  <c r="K43" i="1"/>
  <c r="I43" i="1"/>
  <c r="M43" i="1"/>
  <c r="G43" i="1"/>
  <c r="N43" i="1"/>
  <c r="K61" i="1"/>
  <c r="B31" i="1"/>
  <c r="M55" i="1"/>
  <c r="N55" i="1"/>
  <c r="K55" i="1"/>
  <c r="H91" i="1"/>
  <c r="M91" i="1"/>
  <c r="C31" i="1"/>
  <c r="I91" i="1"/>
  <c r="B55" i="1"/>
  <c r="K31" i="1"/>
  <c r="G55" i="1"/>
  <c r="H31" i="1"/>
  <c r="L91" i="1"/>
  <c r="G31" i="1"/>
  <c r="K73" i="1"/>
  <c r="F31" i="1"/>
  <c r="I31" i="1"/>
  <c r="D55" i="1"/>
  <c r="D91" i="1"/>
  <c r="O55" i="1"/>
  <c r="K91" i="1"/>
  <c r="H79" i="1"/>
  <c r="H61" i="1"/>
  <c r="H55" i="1"/>
  <c r="B79" i="1"/>
  <c r="J79" i="1"/>
  <c r="D79" i="1"/>
  <c r="F79" i="1"/>
  <c r="G79" i="1"/>
  <c r="I55" i="1"/>
  <c r="C79" i="1"/>
  <c r="H49" i="1"/>
  <c r="O73" i="1"/>
  <c r="E19" i="1"/>
  <c r="I49" i="1"/>
  <c r="M37" i="1"/>
  <c r="D49" i="1"/>
  <c r="I73" i="1"/>
  <c r="H67" i="1"/>
  <c r="F67" i="1"/>
  <c r="L73" i="1"/>
  <c r="H19" i="1"/>
  <c r="F73" i="1"/>
  <c r="E67" i="1"/>
  <c r="I37" i="1"/>
  <c r="C37" i="1"/>
  <c r="G19" i="1"/>
  <c r="M73" i="1"/>
  <c r="N91" i="1"/>
  <c r="E37" i="1"/>
  <c r="L37" i="1"/>
  <c r="P73" i="1"/>
  <c r="D37" i="1"/>
  <c r="C19" i="1"/>
  <c r="D73" i="1"/>
  <c r="B91" i="1"/>
  <c r="J37" i="1"/>
  <c r="I19" i="1"/>
  <c r="F91" i="1"/>
  <c r="G61" i="1"/>
  <c r="C91" i="1"/>
  <c r="J73" i="1"/>
  <c r="N73" i="1"/>
  <c r="E91" i="1"/>
  <c r="C55" i="1"/>
  <c r="H73" i="1"/>
  <c r="G73" i="1"/>
  <c r="F19" i="1"/>
  <c r="D13" i="1"/>
  <c r="C13" i="1"/>
  <c r="E73" i="1"/>
  <c r="B19" i="1"/>
  <c r="P91" i="1"/>
  <c r="G91" i="1"/>
  <c r="B73" i="1"/>
  <c r="O91" i="1"/>
  <c r="L55" i="1"/>
  <c r="P55" i="1"/>
  <c r="O49" i="1"/>
  <c r="L49" i="1"/>
  <c r="G25" i="1"/>
  <c r="H25" i="1"/>
  <c r="E25" i="1"/>
  <c r="C85" i="1"/>
  <c r="D85" i="1"/>
  <c r="J67" i="1"/>
  <c r="I67" i="1"/>
  <c r="B67" i="1"/>
  <c r="G67" i="1"/>
  <c r="B25" i="1"/>
  <c r="C67" i="1"/>
  <c r="F85" i="1"/>
  <c r="F25" i="1"/>
  <c r="F61" i="1"/>
  <c r="B61" i="1"/>
  <c r="C61" i="1"/>
  <c r="D61" i="1"/>
  <c r="E85" i="1"/>
  <c r="C49" i="1"/>
  <c r="K49" i="1"/>
  <c r="J49" i="1"/>
  <c r="E49" i="1"/>
  <c r="G13" i="1"/>
  <c r="H13" i="1"/>
  <c r="J13" i="1"/>
  <c r="F13" i="1"/>
  <c r="I13" i="1"/>
  <c r="B13" i="1"/>
  <c r="J61" i="1"/>
  <c r="M49" i="1"/>
  <c r="G49" i="1"/>
  <c r="N49" i="1"/>
  <c r="F49" i="1"/>
  <c r="G85" i="1"/>
  <c r="G37" i="1"/>
  <c r="H37" i="1"/>
  <c r="F37" i="1"/>
  <c r="C25" i="1"/>
  <c r="I61" i="1"/>
  <c r="K37" i="1"/>
  <c r="D7" i="1"/>
  <c r="E7" i="1"/>
  <c r="C7" i="1"/>
  <c r="F7" i="1"/>
  <c r="B7" i="1"/>
  <c r="I7" i="1"/>
  <c r="G7" i="1"/>
</calcChain>
</file>

<file path=xl/sharedStrings.xml><?xml version="1.0" encoding="utf-8"?>
<sst xmlns="http://schemas.openxmlformats.org/spreadsheetml/2006/main" count="269" uniqueCount="183">
  <si>
    <t>РЭП</t>
  </si>
  <si>
    <t>Kendrick Lamar</t>
  </si>
  <si>
    <t>Kendrick Lamar EP</t>
  </si>
  <si>
    <t>Overly Dedicated</t>
  </si>
  <si>
    <t>Section.80</t>
  </si>
  <si>
    <t>good kid, m.A.A.d city</t>
  </si>
  <si>
    <t>To Pimp a Butterfly</t>
  </si>
  <si>
    <t>Damn.</t>
  </si>
  <si>
    <t>Mr. Morale &amp; The Big Steppers</t>
  </si>
  <si>
    <t>GNX</t>
  </si>
  <si>
    <t>RYM</t>
  </si>
  <si>
    <t>AOTY critics</t>
  </si>
  <si>
    <t>AOTY users</t>
  </si>
  <si>
    <t>результат</t>
  </si>
  <si>
    <t>Yung Lean</t>
  </si>
  <si>
    <t>Unknown Death 2002</t>
  </si>
  <si>
    <t>Unknown Memory</t>
  </si>
  <si>
    <t>Warlord</t>
  </si>
  <si>
    <t>Frost God</t>
  </si>
  <si>
    <t>Stranger</t>
  </si>
  <si>
    <t>Poison Ivy</t>
  </si>
  <si>
    <t>Starz</t>
  </si>
  <si>
    <t>Stardust</t>
  </si>
  <si>
    <t>Psykos</t>
  </si>
  <si>
    <t>Tyler, the Creator</t>
  </si>
  <si>
    <t>Bastard</t>
  </si>
  <si>
    <t>Goblin</t>
  </si>
  <si>
    <t>Wolf</t>
  </si>
  <si>
    <t>Cherry Bomb</t>
  </si>
  <si>
    <t>Flower Boy</t>
  </si>
  <si>
    <t>Igor</t>
  </si>
  <si>
    <t>Call Me If You Get Lost</t>
  </si>
  <si>
    <t>Chromakopia</t>
  </si>
  <si>
    <t>Travis Scott</t>
  </si>
  <si>
    <t>Days Before Rodeo</t>
  </si>
  <si>
    <t>Rodeo</t>
  </si>
  <si>
    <t>Birds in the Trap McKnight</t>
  </si>
  <si>
    <t>Astroworld</t>
  </si>
  <si>
    <t>Jackboys</t>
  </si>
  <si>
    <t>UTOPIA</t>
  </si>
  <si>
    <t>Owl Pharaoh</t>
  </si>
  <si>
    <t>MF DOOM</t>
  </si>
  <si>
    <t>Operation: Doomsday</t>
  </si>
  <si>
    <t>Special Herbs, Vols. 1 &amp; 2</t>
  </si>
  <si>
    <t>Special Herbs, Vols. 3 &amp; 4</t>
  </si>
  <si>
    <t>Madvillainy</t>
  </si>
  <si>
    <t>Special Herbs 7,8</t>
  </si>
  <si>
    <t>MM..FOOD</t>
  </si>
  <si>
    <t>Special Herbs 9+0</t>
  </si>
  <si>
    <t>The Mouse and the Mask</t>
  </si>
  <si>
    <t>Born Like This</t>
  </si>
  <si>
    <t>Czarface Meets Metal Face</t>
  </si>
  <si>
    <t>Super What?</t>
  </si>
  <si>
    <t>Eminem</t>
  </si>
  <si>
    <t>Infinite</t>
  </si>
  <si>
    <t>The Slim Shady LP</t>
  </si>
  <si>
    <t>The Marshall Mathers LP</t>
  </si>
  <si>
    <t>The Eminem Show</t>
  </si>
  <si>
    <t>Encore</t>
  </si>
  <si>
    <t>Relapse</t>
  </si>
  <si>
    <t>Recovery</t>
  </si>
  <si>
    <t>The Marshall Mathers LP2</t>
  </si>
  <si>
    <t>Revival</t>
  </si>
  <si>
    <t>Kamikaze</t>
  </si>
  <si>
    <t>Music To Be Murdered By</t>
  </si>
  <si>
    <t>The Death of Slim Shady</t>
  </si>
  <si>
    <t>Drake</t>
  </si>
  <si>
    <t>So Far Gone</t>
  </si>
  <si>
    <t>Thank Me Later</t>
  </si>
  <si>
    <t>Take Care</t>
  </si>
  <si>
    <t>Nothing Was The Same</t>
  </si>
  <si>
    <t>If You're Reading This It's Too Late</t>
  </si>
  <si>
    <t>What A Time To Be Alive</t>
  </si>
  <si>
    <t>Views</t>
  </si>
  <si>
    <t>More Life</t>
  </si>
  <si>
    <t>Scorpion</t>
  </si>
  <si>
    <t>Dark Lane Demo Tapes</t>
  </si>
  <si>
    <t>Certified Lover Boy</t>
  </si>
  <si>
    <t>Honestly, Nevermind</t>
  </si>
  <si>
    <t>Her Loss</t>
  </si>
  <si>
    <t>For All The Dogs</t>
  </si>
  <si>
    <t>Kanye West</t>
  </si>
  <si>
    <t>The College Dropout</t>
  </si>
  <si>
    <t>Late Registration</t>
  </si>
  <si>
    <t>Graduation</t>
  </si>
  <si>
    <t>808s &amp; Heartbreak</t>
  </si>
  <si>
    <t>My Beautiful Dark Twisted Fantasy</t>
  </si>
  <si>
    <t>Watch the Throne</t>
  </si>
  <si>
    <t>Yeezus</t>
  </si>
  <si>
    <t>The Life of Pablo</t>
  </si>
  <si>
    <t>ye</t>
  </si>
  <si>
    <t>JESUS IS KING</t>
  </si>
  <si>
    <t>Donda</t>
  </si>
  <si>
    <t>Donda 2</t>
  </si>
  <si>
    <t>Vultures</t>
  </si>
  <si>
    <t>Vultures 2</t>
  </si>
  <si>
    <t>Lil Wayne</t>
  </si>
  <si>
    <t>Tha Block Is Hot</t>
  </si>
  <si>
    <t>Lights Out</t>
  </si>
  <si>
    <t>500 Degreez</t>
  </si>
  <si>
    <t>Tha Carter</t>
  </si>
  <si>
    <t>Tha Carter II</t>
  </si>
  <si>
    <t>Like Father, Like Son</t>
  </si>
  <si>
    <t>Tha Carter III</t>
  </si>
  <si>
    <t>Rebirth</t>
  </si>
  <si>
    <t>I Am Not a Human Being</t>
  </si>
  <si>
    <t>Tha Carter IV</t>
  </si>
  <si>
    <t>I Am Not a Human Being II</t>
  </si>
  <si>
    <t>Free Weezy Album</t>
  </si>
  <si>
    <t>Tha Carter V</t>
  </si>
  <si>
    <t>Funeral</t>
  </si>
  <si>
    <t>Welcome 2 Collegrove</t>
  </si>
  <si>
    <t>Lil Uzi Vert</t>
  </si>
  <si>
    <t>Luv Is Rage</t>
  </si>
  <si>
    <t>Lil Uzi Vert vs. the World</t>
  </si>
  <si>
    <t>The Perfect Luv Tape</t>
  </si>
  <si>
    <t>The Real Uzi</t>
  </si>
  <si>
    <t>Luv Is Rage 2</t>
  </si>
  <si>
    <t>Eternal Atake</t>
  </si>
  <si>
    <t>Eternal Atake (Deluxe): LUV vs. The World 2</t>
  </si>
  <si>
    <t>Pluto x Baby Pluto</t>
  </si>
  <si>
    <t>Pink Tape</t>
  </si>
  <si>
    <t>Eternal Atake 2</t>
  </si>
  <si>
    <t>21 Savage</t>
  </si>
  <si>
    <t>Savage Mode</t>
  </si>
  <si>
    <t>Slaughter King</t>
  </si>
  <si>
    <t>The Slaughter Tape</t>
  </si>
  <si>
    <t>Issa Album</t>
  </si>
  <si>
    <t>Without Warning</t>
  </si>
  <si>
    <t>i am &gt; i was</t>
  </si>
  <si>
    <t>SAVAGE MODE II</t>
  </si>
  <si>
    <t>american dream</t>
  </si>
  <si>
    <t>Bladee</t>
  </si>
  <si>
    <t>Gluee</t>
  </si>
  <si>
    <t>Eversince</t>
  </si>
  <si>
    <t>D&amp;G</t>
  </si>
  <si>
    <t>Working on Dying</t>
  </si>
  <si>
    <t>Red Light</t>
  </si>
  <si>
    <t>Icedancer</t>
  </si>
  <si>
    <t>Trash Island</t>
  </si>
  <si>
    <t>Exeter</t>
  </si>
  <si>
    <t>Good Luck</t>
  </si>
  <si>
    <t>The Fool</t>
  </si>
  <si>
    <t>Crest</t>
  </si>
  <si>
    <t>Spiderr</t>
  </si>
  <si>
    <t>Cold Visions</t>
  </si>
  <si>
    <t>Lil Yachty</t>
  </si>
  <si>
    <t>Lil Boat</t>
  </si>
  <si>
    <t>Summer Songs 2</t>
  </si>
  <si>
    <t>Teenage Emotions</t>
  </si>
  <si>
    <t>Lil Boat 2</t>
  </si>
  <si>
    <t>Nuthin' 2 Prove</t>
  </si>
  <si>
    <t>Lil Boat 3</t>
  </si>
  <si>
    <t>Michigan Boy Boat</t>
  </si>
  <si>
    <t>Let's Start Here</t>
  </si>
  <si>
    <t>Bad Cameo</t>
  </si>
  <si>
    <t>OutKast</t>
  </si>
  <si>
    <t>Southernplayalisticadillacmuzik</t>
  </si>
  <si>
    <t>ATLiens</t>
  </si>
  <si>
    <t>Aquemini</t>
  </si>
  <si>
    <t>Stankonia</t>
  </si>
  <si>
    <t>Speakerboxxx / The Love Below</t>
  </si>
  <si>
    <t>Idlewild</t>
  </si>
  <si>
    <t>Public Enemy</t>
  </si>
  <si>
    <t>Yo! Bum Rush the Show</t>
  </si>
  <si>
    <t>It Takes a Nation of Millions to Hold Us Back</t>
  </si>
  <si>
    <t>Fear of a Black Planet</t>
  </si>
  <si>
    <t>Apocalypse 91… The Enemy Strikes Black</t>
  </si>
  <si>
    <t>There's a Poison Goin' On</t>
  </si>
  <si>
    <t>Revolverlution</t>
  </si>
  <si>
    <t>New Whirl Odor</t>
  </si>
  <si>
    <t>Rebirth of a Nation</t>
  </si>
  <si>
    <t>How You Sell Soul to a Soulless People Who Sold Their Soul</t>
  </si>
  <si>
    <t>Most of My Heroes Still Don't Appear on No Stamp</t>
  </si>
  <si>
    <t>The Evil Empire of Everything</t>
  </si>
  <si>
    <t>Man Plans God Laughs</t>
  </si>
  <si>
    <t>Nothing is Quick in the Desert</t>
  </si>
  <si>
    <t>What You Gonna Do When The Grid Goes Down?</t>
  </si>
  <si>
    <t>Muse Sick-N-Hour Mess Age</t>
  </si>
  <si>
    <t>относ. рез.</t>
  </si>
  <si>
    <t>медиана</t>
  </si>
  <si>
    <t>ЗНАЧЕНИЯ ДЛЯ ПРИВЕДЁННЫХ ГРАФИКОВ</t>
  </si>
  <si>
    <t>СРЕДНЕЕ ЗНАЧЕНИЕ ПРИВЕДЁННЫХ ОТНОСИТЕЛЬНЫХ ОЦЕНОК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</si>
</sst>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43" fontId="0" fillId="0" borderId="0" xfId="1" applyFont="1"/>
    <xf numFmtId="2" fontId="0" fillId="0" borderId="0" xfId="0" applyNumberFormat="1"/>
    <xf numFmtId="9" fontId="0" fillId="0" borderId="0" xfId="2" applyFont="1"/>
    <xf numFmtId="0" fontId="0" fillId="0" borderId="2" xfId="0" applyBorder="1"/>
    <xf numFmtId="164" fontId="0" fillId="0" borderId="2" xfId="0" applyNumberFormat="1" applyBorder="1"/>
    <xf numFmtId="9" fontId="0" fillId="0" borderId="3" xfId="2" applyFont="1" applyBorder="1"/>
    <xf numFmtId="9" fontId="0" fillId="0" borderId="4" xfId="2" applyFont="1" applyBorder="1"/>
    <xf numFmtId="0" fontId="1" fillId="2" borderId="5" xfId="3" applyBorder="1"/>
    <xf numFmtId="0" fontId="1" fillId="2" borderId="6" xfId="3" applyBorder="1"/>
    <xf numFmtId="9" fontId="0" fillId="0" borderId="0" xfId="2" applyFont="1" applyBorder="1"/>
    <xf numFmtId="9" fontId="0" fillId="0" borderId="2" xfId="2" applyFont="1" applyBorder="1"/>
    <xf numFmtId="0" fontId="1" fillId="2" borderId="1" xfId="3" applyBorder="1"/>
    <xf numFmtId="0" fontId="0" fillId="0" borderId="7" xfId="0" applyBorder="1"/>
    <xf numFmtId="43" fontId="1" fillId="2" borderId="5" xfId="3" applyNumberFormat="1" applyBorder="1"/>
    <xf numFmtId="43" fontId="1" fillId="2" borderId="6" xfId="3" applyNumberFormat="1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">
    <cellStyle name="40% — акцент5" xfId="3" builtinId="47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aseline="0"/>
              <a:t>ПЕРВИЧНАЯ ДИАГРАММА ОТНОСИТЕЛЬНЫХ ОЦЕНОК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Лист1!$B$7:$I$7</c:f>
              <c:numCache>
                <c:formatCode>0%</c:formatCode>
                <c:ptCount val="8"/>
                <c:pt idx="0">
                  <c:v>0.85811718507802004</c:v>
                </c:pt>
                <c:pt idx="1">
                  <c:v>0.82752919293169369</c:v>
                </c:pt>
                <c:pt idx="2">
                  <c:v>0.96724191381626534</c:v>
                </c:pt>
                <c:pt idx="3">
                  <c:v>1.1177017670765732</c:v>
                </c:pt>
                <c:pt idx="4">
                  <c:v>1.1482897592228998</c:v>
                </c:pt>
                <c:pt idx="5">
                  <c:v>1.0366849230133306</c:v>
                </c:pt>
                <c:pt idx="6">
                  <c:v>1.0300713030898005</c:v>
                </c:pt>
                <c:pt idx="7">
                  <c:v>1.0143639557714168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4-4A40-B585-D4128E4FEA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Лист1!$B$13:$J$13</c:f>
              <c:numCache>
                <c:formatCode>0%</c:formatCode>
                <c:ptCount val="9"/>
                <c:pt idx="0">
                  <c:v>0.94131860545391788</c:v>
                </c:pt>
                <c:pt idx="1">
                  <c:v>1.0521228857438729</c:v>
                </c:pt>
                <c:pt idx="2">
                  <c:v>0.97342078011736277</c:v>
                </c:pt>
                <c:pt idx="3">
                  <c:v>0.86261649982740762</c:v>
                </c:pt>
                <c:pt idx="4">
                  <c:v>1.1090783569209526</c:v>
                </c:pt>
                <c:pt idx="5">
                  <c:v>1.0324473593372454</c:v>
                </c:pt>
                <c:pt idx="6">
                  <c:v>1.0655850880220918</c:v>
                </c:pt>
                <c:pt idx="7">
                  <c:v>0.92992751121850192</c:v>
                </c:pt>
                <c:pt idx="8">
                  <c:v>1.0334829133586467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4-4A40-B585-D4128E4FEA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Лист1!$B$19:$I$19</c:f>
              <c:numCache>
                <c:formatCode>0%</c:formatCode>
                <c:ptCount val="8"/>
                <c:pt idx="0">
                  <c:v>0.88878801634135263</c:v>
                </c:pt>
                <c:pt idx="1">
                  <c:v>0.79164775306400359</c:v>
                </c:pt>
                <c:pt idx="2">
                  <c:v>0.97412619155696767</c:v>
                </c:pt>
                <c:pt idx="3">
                  <c:v>0.86427598729005894</c:v>
                </c:pt>
                <c:pt idx="4">
                  <c:v>1.109396277802996</c:v>
                </c:pt>
                <c:pt idx="5">
                  <c:v>1.1665910122560146</c:v>
                </c:pt>
                <c:pt idx="6">
                  <c:v>1.1139355424421242</c:v>
                </c:pt>
                <c:pt idx="7">
                  <c:v>1.0912392192464822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F4-4A40-B585-D4128E4FEA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Лист1!$B$25:$H$25</c:f>
              <c:numCache>
                <c:formatCode>0%</c:formatCode>
                <c:ptCount val="7"/>
                <c:pt idx="0">
                  <c:v>0.81201192673576605</c:v>
                </c:pt>
                <c:pt idx="1">
                  <c:v>1.0356382223484311</c:v>
                </c:pt>
                <c:pt idx="2">
                  <c:v>1.1250887405934971</c:v>
                </c:pt>
                <c:pt idx="3">
                  <c:v>0.92531591651284961</c:v>
                </c:pt>
                <c:pt idx="4">
                  <c:v>1.156893369302854</c:v>
                </c:pt>
                <c:pt idx="5">
                  <c:v>0.86767002697714035</c:v>
                </c:pt>
                <c:pt idx="6">
                  <c:v>1.0773817975294619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F4-4A40-B585-D4128E4FEA5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Лист1!$B$31:$L$31</c:f>
              <c:numCache>
                <c:formatCode>0%</c:formatCode>
                <c:ptCount val="11"/>
                <c:pt idx="0">
                  <c:v>1.0345321451304901</c:v>
                </c:pt>
                <c:pt idx="1">
                  <c:v>0.9627625716104391</c:v>
                </c:pt>
                <c:pt idx="2">
                  <c:v>0.98289306174411195</c:v>
                </c:pt>
                <c:pt idx="3">
                  <c:v>1.176320814767664</c:v>
                </c:pt>
                <c:pt idx="4">
                  <c:v>1.0056492679821771</c:v>
                </c:pt>
                <c:pt idx="5">
                  <c:v>1.0984245703373647</c:v>
                </c:pt>
                <c:pt idx="6">
                  <c:v>0.93387969446212593</c:v>
                </c:pt>
                <c:pt idx="7">
                  <c:v>0.99427116486314449</c:v>
                </c:pt>
                <c:pt idx="8">
                  <c:v>0.99339592616168049</c:v>
                </c:pt>
                <c:pt idx="9">
                  <c:v>0.9172501591343093</c:v>
                </c:pt>
                <c:pt idx="10">
                  <c:v>0.90062062380649277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F4-4A40-B585-D4128E4FEA5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Лист1!$B$37:$M$37</c:f>
              <c:numCache>
                <c:formatCode>0%</c:formatCode>
                <c:ptCount val="12"/>
                <c:pt idx="0">
                  <c:v>0.94861329147043438</c:v>
                </c:pt>
                <c:pt idx="1">
                  <c:v>1.2272108843537415</c:v>
                </c:pt>
                <c:pt idx="2">
                  <c:v>1.3273678702250133</c:v>
                </c:pt>
                <c:pt idx="3">
                  <c:v>1.2767137624280482</c:v>
                </c:pt>
                <c:pt idx="4">
                  <c:v>0.88184196755625321</c:v>
                </c:pt>
                <c:pt idx="5">
                  <c:v>1.0291993720565149</c:v>
                </c:pt>
                <c:pt idx="6">
                  <c:v>0.97394034536891683</c:v>
                </c:pt>
                <c:pt idx="7">
                  <c:v>1.0959706959706961</c:v>
                </c:pt>
                <c:pt idx="8">
                  <c:v>0.5399267399267399</c:v>
                </c:pt>
                <c:pt idx="9">
                  <c:v>0.81046572475143919</c:v>
                </c:pt>
                <c:pt idx="10">
                  <c:v>0.88874934589220311</c:v>
                </c:pt>
                <c:pt idx="11">
                  <c:v>0.81622187336473062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F4-4A40-B585-D4128E4FEA5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Лист1!$B$43:$O$43</c:f>
              <c:numCache>
                <c:formatCode>0%</c:formatCode>
                <c:ptCount val="14"/>
                <c:pt idx="0">
                  <c:v>1.0406320541760723</c:v>
                </c:pt>
                <c:pt idx="1">
                  <c:v>1.038374717832957</c:v>
                </c:pt>
                <c:pt idx="2">
                  <c:v>1.2381489841986455</c:v>
                </c:pt>
                <c:pt idx="3">
                  <c:v>1.2291196388261851</c:v>
                </c:pt>
                <c:pt idx="4">
                  <c:v>1.2708803611738149</c:v>
                </c:pt>
                <c:pt idx="5">
                  <c:v>1.1117381489841986</c:v>
                </c:pt>
                <c:pt idx="6">
                  <c:v>0.98081264108352151</c:v>
                </c:pt>
                <c:pt idx="7">
                  <c:v>1.0959367945823928</c:v>
                </c:pt>
                <c:pt idx="8">
                  <c:v>0.82167042889390507</c:v>
                </c:pt>
                <c:pt idx="9">
                  <c:v>0.85553047404063198</c:v>
                </c:pt>
                <c:pt idx="10">
                  <c:v>0.74717832957110608</c:v>
                </c:pt>
                <c:pt idx="11">
                  <c:v>0.7832957110609482</c:v>
                </c:pt>
                <c:pt idx="12">
                  <c:v>0.98306997742663649</c:v>
                </c:pt>
                <c:pt idx="13">
                  <c:v>0.80361173814898423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F4-4A40-B585-D4128E4FEA5E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Лист1!$B$49:$O$49</c:f>
              <c:numCache>
                <c:formatCode>0%</c:formatCode>
                <c:ptCount val="14"/>
                <c:pt idx="0">
                  <c:v>1.2553702656868286</c:v>
                </c:pt>
                <c:pt idx="1">
                  <c:v>1.2514132278123229</c:v>
                </c:pt>
                <c:pt idx="2">
                  <c:v>1.1683154324477103</c:v>
                </c:pt>
                <c:pt idx="3">
                  <c:v>1.1228094968908986</c:v>
                </c:pt>
                <c:pt idx="4">
                  <c:v>1.2949406444318821</c:v>
                </c:pt>
                <c:pt idx="5">
                  <c:v>1.0298191068400222</c:v>
                </c:pt>
                <c:pt idx="6">
                  <c:v>1.2068965517241377</c:v>
                </c:pt>
                <c:pt idx="7">
                  <c:v>1.1791972866025999</c:v>
                </c:pt>
                <c:pt idx="8">
                  <c:v>1.0367439231204068</c:v>
                </c:pt>
                <c:pt idx="9">
                  <c:v>0.76172979084228365</c:v>
                </c:pt>
                <c:pt idx="10">
                  <c:v>0.97046353872244173</c:v>
                </c:pt>
                <c:pt idx="11">
                  <c:v>0.5510175240248727</c:v>
                </c:pt>
                <c:pt idx="12">
                  <c:v>0.67071791972866002</c:v>
                </c:pt>
                <c:pt idx="13">
                  <c:v>0.5005652911249292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F4-4A40-B585-D4128E4FEA5E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Лист1!$B$55:$P$55</c:f>
              <c:numCache>
                <c:formatCode>0%</c:formatCode>
                <c:ptCount val="15"/>
                <c:pt idx="0">
                  <c:v>0.96057402978165274</c:v>
                </c:pt>
                <c:pt idx="1">
                  <c:v>0.99066430059408994</c:v>
                </c:pt>
                <c:pt idx="2">
                  <c:v>1.0010801635676261</c:v>
                </c:pt>
                <c:pt idx="3">
                  <c:v>1.1388010184399355</c:v>
                </c:pt>
                <c:pt idx="4">
                  <c:v>1.3413316873698018</c:v>
                </c:pt>
                <c:pt idx="5">
                  <c:v>1.035799706812746</c:v>
                </c:pt>
                <c:pt idx="6">
                  <c:v>1.3089267803410229</c:v>
                </c:pt>
                <c:pt idx="7">
                  <c:v>0.48838824164802108</c:v>
                </c:pt>
                <c:pt idx="8">
                  <c:v>0.91543862356299666</c:v>
                </c:pt>
                <c:pt idx="9">
                  <c:v>1.0612607051925007</c:v>
                </c:pt>
                <c:pt idx="10">
                  <c:v>0.7233238176066662</c:v>
                </c:pt>
                <c:pt idx="11">
                  <c:v>0.92932644086104477</c:v>
                </c:pt>
                <c:pt idx="12">
                  <c:v>1.1654193349278608</c:v>
                </c:pt>
                <c:pt idx="13">
                  <c:v>0.89923617004860756</c:v>
                </c:pt>
                <c:pt idx="14">
                  <c:v>1.0404289792454287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F4-4A40-B585-D4128E4FEA5E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Лист1!$B$61:$K$61</c:f>
              <c:numCache>
                <c:formatCode>0%</c:formatCode>
                <c:ptCount val="10"/>
                <c:pt idx="0">
                  <c:v>0.7222799123110647</c:v>
                </c:pt>
                <c:pt idx="1">
                  <c:v>1.1191877235490941</c:v>
                </c:pt>
                <c:pt idx="2">
                  <c:v>1.1976462443752163</c:v>
                </c:pt>
                <c:pt idx="3">
                  <c:v>1.0603438329295027</c:v>
                </c:pt>
                <c:pt idx="4">
                  <c:v>1.1699550017307025</c:v>
                </c:pt>
                <c:pt idx="5">
                  <c:v>1.1434175608630435</c:v>
                </c:pt>
                <c:pt idx="6">
                  <c:v>1.0822660666897426</c:v>
                </c:pt>
                <c:pt idx="7">
                  <c:v>0.87458174685588996</c:v>
                </c:pt>
                <c:pt idx="8">
                  <c:v>1.0141917618553131</c:v>
                </c:pt>
                <c:pt idx="9">
                  <c:v>0.61613014884042916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F4-4A40-B585-D4128E4FEA5E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Лист1!$B$67:$J$67</c:f>
              <c:numCache>
                <c:formatCode>0%</c:formatCode>
                <c:ptCount val="9"/>
                <c:pt idx="0">
                  <c:v>0.72952218430034144</c:v>
                </c:pt>
                <c:pt idx="1">
                  <c:v>0.73171623598244773</c:v>
                </c:pt>
                <c:pt idx="2">
                  <c:v>1.0399804973183813</c:v>
                </c:pt>
                <c:pt idx="3">
                  <c:v>0.86555338859093134</c:v>
                </c:pt>
                <c:pt idx="4">
                  <c:v>1.1979522184300342</c:v>
                </c:pt>
                <c:pt idx="5">
                  <c:v>1.1902730375426622</c:v>
                </c:pt>
                <c:pt idx="6">
                  <c:v>1.2297659678205755</c:v>
                </c:pt>
                <c:pt idx="7">
                  <c:v>0.95550950755728914</c:v>
                </c:pt>
                <c:pt idx="8">
                  <c:v>1.0597269624573378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F4-4A40-B585-D4128E4FEA5E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Лист1!$B$73:$P$73</c:f>
              <c:numCache>
                <c:formatCode>0%</c:formatCode>
                <c:ptCount val="15"/>
                <c:pt idx="0">
                  <c:v>1.0841998478316006</c:v>
                </c:pt>
                <c:pt idx="1">
                  <c:v>1.08895511032209</c:v>
                </c:pt>
                <c:pt idx="2">
                  <c:v>0.91491250317017525</c:v>
                </c:pt>
                <c:pt idx="3">
                  <c:v>1.0661298503677406</c:v>
                </c:pt>
                <c:pt idx="4">
                  <c:v>0.89018513821962986</c:v>
                </c:pt>
                <c:pt idx="5">
                  <c:v>1.1003677402992649</c:v>
                </c:pt>
                <c:pt idx="6">
                  <c:v>1.0299898554400204</c:v>
                </c:pt>
                <c:pt idx="7">
                  <c:v>0.94724828810550343</c:v>
                </c:pt>
                <c:pt idx="8">
                  <c:v>0.97768196804463625</c:v>
                </c:pt>
                <c:pt idx="9">
                  <c:v>0.80459041339081927</c:v>
                </c:pt>
                <c:pt idx="10">
                  <c:v>1.0223814354552374</c:v>
                </c:pt>
                <c:pt idx="11">
                  <c:v>1.0927593203144816</c:v>
                </c:pt>
                <c:pt idx="12">
                  <c:v>1.0100177529799645</c:v>
                </c:pt>
                <c:pt idx="13">
                  <c:v>0.94915039310169935</c:v>
                </c:pt>
                <c:pt idx="14">
                  <c:v>1.0214303829571396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F4-4A40-B585-D4128E4FEA5E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Лист1!$B$79:$J$79</c:f>
              <c:numCache>
                <c:formatCode>0%</c:formatCode>
                <c:ptCount val="9"/>
                <c:pt idx="0">
                  <c:v>1.1104751763609744</c:v>
                </c:pt>
                <c:pt idx="1">
                  <c:v>0.96792226806868098</c:v>
                </c:pt>
                <c:pt idx="2">
                  <c:v>0.73792093704245976</c:v>
                </c:pt>
                <c:pt idx="3">
                  <c:v>0.91880740050578991</c:v>
                </c:pt>
                <c:pt idx="4">
                  <c:v>0.82057766538000798</c:v>
                </c:pt>
                <c:pt idx="5">
                  <c:v>0.8984426993211766</c:v>
                </c:pt>
                <c:pt idx="6">
                  <c:v>0.97271396246506059</c:v>
                </c:pt>
                <c:pt idx="7">
                  <c:v>1.3560495141754292</c:v>
                </c:pt>
                <c:pt idx="8">
                  <c:v>1.2170903766804206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F4-4A40-B585-D4128E4FEA5E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Лист1!$B$85:$G$85</c:f>
              <c:numCache>
                <c:formatCode>0%</c:formatCode>
                <c:ptCount val="6"/>
                <c:pt idx="0">
                  <c:v>1.0071664829106948</c:v>
                </c:pt>
                <c:pt idx="1">
                  <c:v>1.0509922822491731</c:v>
                </c:pt>
                <c:pt idx="2">
                  <c:v>1.0898566703417862</c:v>
                </c:pt>
                <c:pt idx="3">
                  <c:v>1.0683572216097021</c:v>
                </c:pt>
                <c:pt idx="4">
                  <c:v>0.98897464167585447</c:v>
                </c:pt>
                <c:pt idx="5">
                  <c:v>0.79465270121278941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F4-4A40-B585-D4128E4FEA5E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Лист1!$B$91:$P$91</c:f>
              <c:numCache>
                <c:formatCode>0%</c:formatCode>
                <c:ptCount val="15"/>
                <c:pt idx="0">
                  <c:v>1.1723790322580643</c:v>
                </c:pt>
                <c:pt idx="1">
                  <c:v>1.3346774193548385</c:v>
                </c:pt>
                <c:pt idx="2">
                  <c:v>1.2651209677419355</c:v>
                </c:pt>
                <c:pt idx="3">
                  <c:v>1.25</c:v>
                </c:pt>
                <c:pt idx="4">
                  <c:v>1.0100806451612903</c:v>
                </c:pt>
                <c:pt idx="5">
                  <c:v>0.92741935483870963</c:v>
                </c:pt>
                <c:pt idx="6">
                  <c:v>0.82963709677419351</c:v>
                </c:pt>
                <c:pt idx="7">
                  <c:v>0.84677419354838701</c:v>
                </c:pt>
                <c:pt idx="8">
                  <c:v>0.87903225806451601</c:v>
                </c:pt>
                <c:pt idx="9">
                  <c:v>1.0151209677419355</c:v>
                </c:pt>
                <c:pt idx="10">
                  <c:v>0.97278225806451601</c:v>
                </c:pt>
                <c:pt idx="11">
                  <c:v>0.88104838709677424</c:v>
                </c:pt>
                <c:pt idx="12">
                  <c:v>0.79435483870967727</c:v>
                </c:pt>
                <c:pt idx="13">
                  <c:v>0.86189516129032251</c:v>
                </c:pt>
                <c:pt idx="14">
                  <c:v>0.95967741935483863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F4-4A40-B585-D4128E4F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321216"/>
        <c:axId val="891321696"/>
      </c:lineChart>
      <c:catAx>
        <c:axId val="89132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321696"/>
        <c:crosses val="autoZero"/>
        <c:auto val="1"/>
        <c:lblAlgn val="ctr"/>
        <c:lblOffset val="100"/>
        <c:noMultiLvlLbl val="0"/>
      </c:catAx>
      <c:valAx>
        <c:axId val="89132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13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aseline="0"/>
              <a:t>ПРИВЕДЁННАЯ ДИАГРАММА ОТНОСИТЕЛЬНЫХ ОЦЕНОК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5519685312129514E-2"/>
          <c:y val="7.0853297286215935E-2"/>
          <c:w val="0.94382112832332754"/>
          <c:h val="0.7977692914119056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Лист1!$S$2:$AG$2</c:f>
              <c:numCache>
                <c:formatCode>0.00</c:formatCode>
                <c:ptCount val="15"/>
                <c:pt idx="0">
                  <c:v>0.96057402978165274</c:v>
                </c:pt>
                <c:pt idx="1">
                  <c:v>0.99066430059408994</c:v>
                </c:pt>
                <c:pt idx="2">
                  <c:v>1.0010801635676261</c:v>
                </c:pt>
                <c:pt idx="3">
                  <c:v>1.1388010184399355</c:v>
                </c:pt>
                <c:pt idx="4">
                  <c:v>1.3413316873698018</c:v>
                </c:pt>
                <c:pt idx="5">
                  <c:v>1.035799706812746</c:v>
                </c:pt>
                <c:pt idx="6">
                  <c:v>1.3089267803410229</c:v>
                </c:pt>
                <c:pt idx="7">
                  <c:v>0.48838824164802108</c:v>
                </c:pt>
                <c:pt idx="8">
                  <c:v>0.91543862356299666</c:v>
                </c:pt>
                <c:pt idx="9">
                  <c:v>1.0612607051925007</c:v>
                </c:pt>
                <c:pt idx="10">
                  <c:v>0.7233238176066662</c:v>
                </c:pt>
                <c:pt idx="11">
                  <c:v>0.92932644086104477</c:v>
                </c:pt>
                <c:pt idx="12">
                  <c:v>1.1654193349278608</c:v>
                </c:pt>
                <c:pt idx="13">
                  <c:v>0.89923617004860756</c:v>
                </c:pt>
                <c:pt idx="14">
                  <c:v>1.0404289792454287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5-41A4-99F9-FF7D513C6A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Лист1!$S$3:$AG$3</c:f>
              <c:numCache>
                <c:formatCode>0.00</c:formatCode>
                <c:ptCount val="15"/>
                <c:pt idx="0">
                  <c:v>1.0841998478316006</c:v>
                </c:pt>
                <c:pt idx="1">
                  <c:v>1.08895511032209</c:v>
                </c:pt>
                <c:pt idx="2">
                  <c:v>0.91491250317017525</c:v>
                </c:pt>
                <c:pt idx="3">
                  <c:v>1.0661298503677406</c:v>
                </c:pt>
                <c:pt idx="4">
                  <c:v>0.89018513821962986</c:v>
                </c:pt>
                <c:pt idx="5">
                  <c:v>1.1003677402992649</c:v>
                </c:pt>
                <c:pt idx="6">
                  <c:v>1.0299898554400204</c:v>
                </c:pt>
                <c:pt idx="7">
                  <c:v>0.94724828810550343</c:v>
                </c:pt>
                <c:pt idx="8">
                  <c:v>0.97768196804463625</c:v>
                </c:pt>
                <c:pt idx="9">
                  <c:v>0.80459041339081927</c:v>
                </c:pt>
                <c:pt idx="10">
                  <c:v>1.0223814354552374</c:v>
                </c:pt>
                <c:pt idx="11">
                  <c:v>1.0927593203144816</c:v>
                </c:pt>
                <c:pt idx="12">
                  <c:v>1.0100177529799645</c:v>
                </c:pt>
                <c:pt idx="13">
                  <c:v>0.94915039310169935</c:v>
                </c:pt>
                <c:pt idx="14">
                  <c:v>1.0214303829571396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5-41A4-99F9-FF7D513C6A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Лист1!$S$4:$AG$4</c:f>
              <c:numCache>
                <c:formatCode>0.00</c:formatCode>
                <c:ptCount val="15"/>
                <c:pt idx="0">
                  <c:v>1.1723790322580643</c:v>
                </c:pt>
                <c:pt idx="1">
                  <c:v>1.3346774193548385</c:v>
                </c:pt>
                <c:pt idx="2">
                  <c:v>1.2651209677419355</c:v>
                </c:pt>
                <c:pt idx="3">
                  <c:v>1.25</c:v>
                </c:pt>
                <c:pt idx="4">
                  <c:v>1.0100806451612903</c:v>
                </c:pt>
                <c:pt idx="5">
                  <c:v>0.92741935483870963</c:v>
                </c:pt>
                <c:pt idx="6">
                  <c:v>0.82963709677419351</c:v>
                </c:pt>
                <c:pt idx="7">
                  <c:v>0.84677419354838701</c:v>
                </c:pt>
                <c:pt idx="8">
                  <c:v>0.87903225806451601</c:v>
                </c:pt>
                <c:pt idx="9">
                  <c:v>1.0151209677419355</c:v>
                </c:pt>
                <c:pt idx="10">
                  <c:v>0.97278225806451601</c:v>
                </c:pt>
                <c:pt idx="11">
                  <c:v>0.88104838709677424</c:v>
                </c:pt>
                <c:pt idx="12">
                  <c:v>0.79435483870967727</c:v>
                </c:pt>
                <c:pt idx="13">
                  <c:v>0.86189516129032251</c:v>
                </c:pt>
                <c:pt idx="14">
                  <c:v>0.95967741935483863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5-41A4-99F9-FF7D513C6A0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Лист1!$S$5:$AG$5</c:f>
              <c:numCache>
                <c:formatCode>0.00</c:formatCode>
                <c:ptCount val="15"/>
                <c:pt idx="0">
                  <c:v>1.0406320541760723</c:v>
                </c:pt>
                <c:pt idx="1">
                  <c:v>1.038374717832957</c:v>
                </c:pt>
                <c:pt idx="2">
                  <c:v>1.2381489841986455</c:v>
                </c:pt>
                <c:pt idx="3">
                  <c:v>1.2291196388261851</c:v>
                </c:pt>
                <c:pt idx="4">
                  <c:v>1.2708803611738149</c:v>
                </c:pt>
                <c:pt idx="5">
                  <c:v>1.1117381489841986</c:v>
                </c:pt>
                <c:pt idx="6">
                  <c:v>0.98081264108352151</c:v>
                </c:pt>
                <c:pt idx="7">
                  <c:v>1.0959367945823928</c:v>
                </c:pt>
                <c:pt idx="8">
                  <c:v>1</c:v>
                </c:pt>
                <c:pt idx="9">
                  <c:v>0.82167042889390507</c:v>
                </c:pt>
                <c:pt idx="10">
                  <c:v>0.85553047404063198</c:v>
                </c:pt>
                <c:pt idx="11">
                  <c:v>0.74717832957110608</c:v>
                </c:pt>
                <c:pt idx="12">
                  <c:v>0.7832957110609482</c:v>
                </c:pt>
                <c:pt idx="13">
                  <c:v>0.98306997742663649</c:v>
                </c:pt>
                <c:pt idx="14">
                  <c:v>0.80361173814898423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05-41A4-99F9-FF7D513C6A0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Лист1!$S$6:$AG$6</c:f>
              <c:numCache>
                <c:formatCode>0.00</c:formatCode>
                <c:ptCount val="15"/>
                <c:pt idx="0">
                  <c:v>1.2553702656868286</c:v>
                </c:pt>
                <c:pt idx="1">
                  <c:v>1.2514132278123229</c:v>
                </c:pt>
                <c:pt idx="2">
                  <c:v>1.1683154324477103</c:v>
                </c:pt>
                <c:pt idx="3">
                  <c:v>1.1228094968908986</c:v>
                </c:pt>
                <c:pt idx="4">
                  <c:v>1.2949406444318821</c:v>
                </c:pt>
                <c:pt idx="5">
                  <c:v>1.0298191068400222</c:v>
                </c:pt>
                <c:pt idx="6">
                  <c:v>1.2068965517241377</c:v>
                </c:pt>
                <c:pt idx="7">
                  <c:v>1.1791972866025999</c:v>
                </c:pt>
                <c:pt idx="8">
                  <c:v>1.0367439231204068</c:v>
                </c:pt>
                <c:pt idx="9">
                  <c:v>1</c:v>
                </c:pt>
                <c:pt idx="10">
                  <c:v>0.76172979084228365</c:v>
                </c:pt>
                <c:pt idx="11">
                  <c:v>0.97046353872244173</c:v>
                </c:pt>
                <c:pt idx="12">
                  <c:v>0.5510175240248727</c:v>
                </c:pt>
                <c:pt idx="13">
                  <c:v>0.67071791972866002</c:v>
                </c:pt>
                <c:pt idx="14">
                  <c:v>0.5005652911249292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05-41A4-99F9-FF7D513C6A0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Лист1!$S$7:$AG$7</c:f>
              <c:numCache>
                <c:formatCode>0.00</c:formatCode>
                <c:ptCount val="15"/>
                <c:pt idx="0">
                  <c:v>0.94861329147043438</c:v>
                </c:pt>
                <c:pt idx="1">
                  <c:v>1.2272108843537415</c:v>
                </c:pt>
                <c:pt idx="2">
                  <c:v>1.3273678702250133</c:v>
                </c:pt>
                <c:pt idx="3">
                  <c:v>1.31</c:v>
                </c:pt>
                <c:pt idx="4">
                  <c:v>1.2767137624280482</c:v>
                </c:pt>
                <c:pt idx="5">
                  <c:v>0.88184196755625321</c:v>
                </c:pt>
                <c:pt idx="6">
                  <c:v>1.0291993720565149</c:v>
                </c:pt>
                <c:pt idx="7">
                  <c:v>1</c:v>
                </c:pt>
                <c:pt idx="8">
                  <c:v>0.97394034536891683</c:v>
                </c:pt>
                <c:pt idx="9">
                  <c:v>1.0959706959706961</c:v>
                </c:pt>
                <c:pt idx="10">
                  <c:v>0.5399267399267399</c:v>
                </c:pt>
                <c:pt idx="11">
                  <c:v>0.69</c:v>
                </c:pt>
                <c:pt idx="12">
                  <c:v>0.81046572475143919</c:v>
                </c:pt>
                <c:pt idx="13">
                  <c:v>0.88874934589220311</c:v>
                </c:pt>
                <c:pt idx="14">
                  <c:v>0.81622187336473062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05-41A4-99F9-FF7D513C6A0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Лист1!$S$8:$AG$8</c:f>
              <c:numCache>
                <c:formatCode>0.00</c:formatCode>
                <c:ptCount val="15"/>
                <c:pt idx="0">
                  <c:v>1.0345321451304901</c:v>
                </c:pt>
                <c:pt idx="1">
                  <c:v>0.9627625716104391</c:v>
                </c:pt>
                <c:pt idx="2">
                  <c:v>0.98289306174411195</c:v>
                </c:pt>
                <c:pt idx="3">
                  <c:v>1.08</c:v>
                </c:pt>
                <c:pt idx="4">
                  <c:v>1.176320814767664</c:v>
                </c:pt>
                <c:pt idx="5">
                  <c:v>1.0056492679821771</c:v>
                </c:pt>
                <c:pt idx="6">
                  <c:v>1.05</c:v>
                </c:pt>
                <c:pt idx="7">
                  <c:v>1.0984245703373647</c:v>
                </c:pt>
                <c:pt idx="8">
                  <c:v>0.93387969446212593</c:v>
                </c:pt>
                <c:pt idx="9">
                  <c:v>0.94</c:v>
                </c:pt>
                <c:pt idx="10">
                  <c:v>0.99427116486314449</c:v>
                </c:pt>
                <c:pt idx="11">
                  <c:v>0.99339592616168049</c:v>
                </c:pt>
                <c:pt idx="12">
                  <c:v>0.93</c:v>
                </c:pt>
                <c:pt idx="13">
                  <c:v>0.9172501591343093</c:v>
                </c:pt>
                <c:pt idx="14">
                  <c:v>0.90062062380649277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05-41A4-99F9-FF7D513C6A0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Лист1!$S$9:$AG$9</c:f>
              <c:numCache>
                <c:formatCode>0.00</c:formatCode>
                <c:ptCount val="15"/>
                <c:pt idx="0">
                  <c:v>0.7222799123110647</c:v>
                </c:pt>
                <c:pt idx="1">
                  <c:v>0.92073381793007947</c:v>
                </c:pt>
                <c:pt idx="2">
                  <c:v>1.1191877235490941</c:v>
                </c:pt>
                <c:pt idx="3">
                  <c:v>1.1976462443752163</c:v>
                </c:pt>
                <c:pt idx="4">
                  <c:v>1.190723433714088</c:v>
                </c:pt>
                <c:pt idx="5">
                  <c:v>1.1838006230529594</c:v>
                </c:pt>
                <c:pt idx="6">
                  <c:v>1.1699550017307025</c:v>
                </c:pt>
                <c:pt idx="7">
                  <c:v>1.156686281296873</c:v>
                </c:pt>
                <c:pt idx="8">
                  <c:v>1.1434175608630435</c:v>
                </c:pt>
                <c:pt idx="9">
                  <c:v>1.0822660666897426</c:v>
                </c:pt>
                <c:pt idx="10">
                  <c:v>0.97842390677281621</c:v>
                </c:pt>
                <c:pt idx="11">
                  <c:v>0.87458174685588996</c:v>
                </c:pt>
                <c:pt idx="12">
                  <c:v>1.0141917618553131</c:v>
                </c:pt>
                <c:pt idx="13">
                  <c:v>0.81516095534787114</c:v>
                </c:pt>
                <c:pt idx="14">
                  <c:v>0.61613014884042916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05-41A4-99F9-FF7D513C6A0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Лист1!$S$10:$AG$10</c:f>
              <c:numCache>
                <c:formatCode>0.00</c:formatCode>
                <c:ptCount val="15"/>
                <c:pt idx="0">
                  <c:v>0.94131860545391788</c:v>
                </c:pt>
                <c:pt idx="1">
                  <c:v>0.99672074559889534</c:v>
                </c:pt>
                <c:pt idx="2">
                  <c:v>1.0521228857438729</c:v>
                </c:pt>
                <c:pt idx="3">
                  <c:v>0.97342078011736277</c:v>
                </c:pt>
                <c:pt idx="4">
                  <c:v>0.9180186399723852</c:v>
                </c:pt>
                <c:pt idx="5">
                  <c:v>0.86261649982740762</c:v>
                </c:pt>
                <c:pt idx="6">
                  <c:v>1.1090783569209526</c:v>
                </c:pt>
                <c:pt idx="7">
                  <c:v>1.0707628581290991</c:v>
                </c:pt>
                <c:pt idx="8">
                  <c:v>1.0324473593372454</c:v>
                </c:pt>
                <c:pt idx="9">
                  <c:v>1.0490162236796685</c:v>
                </c:pt>
                <c:pt idx="10">
                  <c:v>1.0655850880220918</c:v>
                </c:pt>
                <c:pt idx="11">
                  <c:v>0.99775629962029688</c:v>
                </c:pt>
                <c:pt idx="12">
                  <c:v>0.92992751121850192</c:v>
                </c:pt>
                <c:pt idx="13">
                  <c:v>0.98170521228857432</c:v>
                </c:pt>
                <c:pt idx="14">
                  <c:v>1.0334829133586467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05-41A4-99F9-FF7D513C6A0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Лист1!$S$11:$AG$11</c:f>
              <c:numCache>
                <c:formatCode>0.00</c:formatCode>
                <c:ptCount val="15"/>
                <c:pt idx="0">
                  <c:v>0.72952218430034144</c:v>
                </c:pt>
                <c:pt idx="1">
                  <c:v>0.73061921014139464</c:v>
                </c:pt>
                <c:pt idx="2">
                  <c:v>0.73171623598244773</c:v>
                </c:pt>
                <c:pt idx="3">
                  <c:v>1.0399804973183813</c:v>
                </c:pt>
                <c:pt idx="4">
                  <c:v>0.95276694295465636</c:v>
                </c:pt>
                <c:pt idx="5">
                  <c:v>0.86555338859093134</c:v>
                </c:pt>
                <c:pt idx="6">
                  <c:v>1.1979522184300342</c:v>
                </c:pt>
                <c:pt idx="7">
                  <c:v>1.1941126279863483</c:v>
                </c:pt>
                <c:pt idx="8">
                  <c:v>1.1902730375426622</c:v>
                </c:pt>
                <c:pt idx="9">
                  <c:v>1.210019502681619</c:v>
                </c:pt>
                <c:pt idx="10">
                  <c:v>1.2297659678205755</c:v>
                </c:pt>
                <c:pt idx="11">
                  <c:v>1.0926377376889322</c:v>
                </c:pt>
                <c:pt idx="12">
                  <c:v>0.95550950755728914</c:v>
                </c:pt>
                <c:pt idx="13">
                  <c:v>1.0076182350073135</c:v>
                </c:pt>
                <c:pt idx="14">
                  <c:v>1.0597269624573378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05-41A4-99F9-FF7D513C6A01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Лист1!$S$12:$AG$12</c:f>
              <c:numCache>
                <c:formatCode>0.00</c:formatCode>
                <c:ptCount val="15"/>
                <c:pt idx="0">
                  <c:v>1.1104751763609744</c:v>
                </c:pt>
                <c:pt idx="1">
                  <c:v>1.0391987222148278</c:v>
                </c:pt>
                <c:pt idx="2">
                  <c:v>0.96792226806868098</c:v>
                </c:pt>
                <c:pt idx="3">
                  <c:v>0.73792093704245976</c:v>
                </c:pt>
                <c:pt idx="4">
                  <c:v>0.82836416877412478</c:v>
                </c:pt>
                <c:pt idx="5">
                  <c:v>0.91880740050578991</c:v>
                </c:pt>
                <c:pt idx="6">
                  <c:v>0.82057766538000798</c:v>
                </c:pt>
                <c:pt idx="7">
                  <c:v>0.85951018235059229</c:v>
                </c:pt>
                <c:pt idx="8">
                  <c:v>0.8984426993211766</c:v>
                </c:pt>
                <c:pt idx="9">
                  <c:v>0.93557833089311859</c:v>
                </c:pt>
                <c:pt idx="10">
                  <c:v>0.97271396246506059</c:v>
                </c:pt>
                <c:pt idx="11">
                  <c:v>1.1643817383202448</c:v>
                </c:pt>
                <c:pt idx="12">
                  <c:v>1.3560495141754292</c:v>
                </c:pt>
                <c:pt idx="13">
                  <c:v>1.2865699454279249</c:v>
                </c:pt>
                <c:pt idx="14">
                  <c:v>1.2170903766804206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05-41A4-99F9-FF7D513C6A01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Лист1!$S$13:$AG$13</c:f>
              <c:numCache>
                <c:formatCode>0.00</c:formatCode>
                <c:ptCount val="15"/>
                <c:pt idx="0">
                  <c:v>0.85811718507802004</c:v>
                </c:pt>
                <c:pt idx="1">
                  <c:v>0.84282318900485687</c:v>
                </c:pt>
                <c:pt idx="2">
                  <c:v>0.82752919293169369</c:v>
                </c:pt>
                <c:pt idx="3">
                  <c:v>0.89738555337397952</c:v>
                </c:pt>
                <c:pt idx="4">
                  <c:v>0.96724191381626534</c:v>
                </c:pt>
                <c:pt idx="5">
                  <c:v>1.0424718404464193</c:v>
                </c:pt>
                <c:pt idx="6">
                  <c:v>1.1177017670765732</c:v>
                </c:pt>
                <c:pt idx="7">
                  <c:v>1.1329957631497365</c:v>
                </c:pt>
                <c:pt idx="8">
                  <c:v>1.1482897592228998</c:v>
                </c:pt>
                <c:pt idx="9">
                  <c:v>1.0924873411181153</c:v>
                </c:pt>
                <c:pt idx="10">
                  <c:v>1.0366849230133306</c:v>
                </c:pt>
                <c:pt idx="11">
                  <c:v>1.0333781130515656</c:v>
                </c:pt>
                <c:pt idx="12">
                  <c:v>1.0300713030898005</c:v>
                </c:pt>
                <c:pt idx="13">
                  <c:v>1.0222176294306102</c:v>
                </c:pt>
                <c:pt idx="14">
                  <c:v>1.0143639557714199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05-41A4-99F9-FF7D513C6A01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Лист1!$S$14:$AG$14</c:f>
              <c:numCache>
                <c:formatCode>0.00</c:formatCode>
                <c:ptCount val="15"/>
                <c:pt idx="0">
                  <c:v>0.88878801634135263</c:v>
                </c:pt>
                <c:pt idx="1">
                  <c:v>0.84021788470267811</c:v>
                </c:pt>
                <c:pt idx="2">
                  <c:v>0.79164775306400359</c:v>
                </c:pt>
                <c:pt idx="3">
                  <c:v>0.88288697231048563</c:v>
                </c:pt>
                <c:pt idx="4">
                  <c:v>0.97412619155696767</c:v>
                </c:pt>
                <c:pt idx="5">
                  <c:v>0.91920108942351331</c:v>
                </c:pt>
                <c:pt idx="6">
                  <c:v>0.86427598729005894</c:v>
                </c:pt>
                <c:pt idx="7">
                  <c:v>0.98683613254652747</c:v>
                </c:pt>
                <c:pt idx="8">
                  <c:v>1.109396277802996</c:v>
                </c:pt>
                <c:pt idx="9">
                  <c:v>1.1379936450295052</c:v>
                </c:pt>
                <c:pt idx="10">
                  <c:v>1.1665910122560146</c:v>
                </c:pt>
                <c:pt idx="11">
                  <c:v>1.1402632773490695</c:v>
                </c:pt>
                <c:pt idx="12">
                  <c:v>1.1139355424421242</c:v>
                </c:pt>
                <c:pt idx="13">
                  <c:v>1.1025873808443032</c:v>
                </c:pt>
                <c:pt idx="14">
                  <c:v>1.0912392192464822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05-41A4-99F9-FF7D513C6A01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Лист1!$S$15:$AG$15</c:f>
              <c:numCache>
                <c:formatCode>0.00</c:formatCode>
                <c:ptCount val="15"/>
                <c:pt idx="0">
                  <c:v>0.81201192673576605</c:v>
                </c:pt>
                <c:pt idx="1">
                  <c:v>0.92382507454209861</c:v>
                </c:pt>
                <c:pt idx="2">
                  <c:v>1.0356382223484311</c:v>
                </c:pt>
                <c:pt idx="3">
                  <c:v>1.0803634814709642</c:v>
                </c:pt>
                <c:pt idx="4">
                  <c:v>1.1250887405934971</c:v>
                </c:pt>
                <c:pt idx="5">
                  <c:v>1.0252023285531733</c:v>
                </c:pt>
                <c:pt idx="6">
                  <c:v>0.92531591651284961</c:v>
                </c:pt>
                <c:pt idx="7">
                  <c:v>1.0411046429078519</c:v>
                </c:pt>
                <c:pt idx="8">
                  <c:v>1.156893369302854</c:v>
                </c:pt>
                <c:pt idx="9">
                  <c:v>1.0122816981399971</c:v>
                </c:pt>
                <c:pt idx="10">
                  <c:v>0.9399758625585688</c:v>
                </c:pt>
                <c:pt idx="11">
                  <c:v>0.86767002697714035</c:v>
                </c:pt>
                <c:pt idx="12">
                  <c:v>0.97252591225330121</c:v>
                </c:pt>
                <c:pt idx="13">
                  <c:v>1.0249538548913817</c:v>
                </c:pt>
                <c:pt idx="14">
                  <c:v>1.0773817975294619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05-41A4-99F9-FF7D513C6A01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Лист1!$S$16:$AG$16</c:f>
              <c:numCache>
                <c:formatCode>0.00</c:formatCode>
                <c:ptCount val="15"/>
                <c:pt idx="0">
                  <c:v>1.01</c:v>
                </c:pt>
                <c:pt idx="1">
                  <c:v>1.03</c:v>
                </c:pt>
                <c:pt idx="2">
                  <c:v>1.04</c:v>
                </c:pt>
                <c:pt idx="3">
                  <c:v>1.05</c:v>
                </c:pt>
                <c:pt idx="4">
                  <c:v>1.07</c:v>
                </c:pt>
                <c:pt idx="5">
                  <c:v>1.08</c:v>
                </c:pt>
                <c:pt idx="6">
                  <c:v>1.0900000000000001</c:v>
                </c:pt>
                <c:pt idx="7">
                  <c:v>1.08</c:v>
                </c:pt>
                <c:pt idx="8">
                  <c:v>1.0750000000000002</c:v>
                </c:pt>
                <c:pt idx="9">
                  <c:v>1.07</c:v>
                </c:pt>
                <c:pt idx="10">
                  <c:v>1.03</c:v>
                </c:pt>
                <c:pt idx="11">
                  <c:v>1.01</c:v>
                </c:pt>
                <c:pt idx="12">
                  <c:v>0.99</c:v>
                </c:pt>
                <c:pt idx="13">
                  <c:v>0.89</c:v>
                </c:pt>
                <c:pt idx="14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05-41A4-99F9-FF7D513C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29456"/>
        <c:axId val="2122614736"/>
      </c:lineChart>
      <c:catAx>
        <c:axId val="991029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614736"/>
        <c:crosses val="autoZero"/>
        <c:auto val="1"/>
        <c:lblAlgn val="ctr"/>
        <c:lblOffset val="100"/>
        <c:noMultiLvlLbl val="0"/>
      </c:catAx>
      <c:valAx>
        <c:axId val="21226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10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aseline="0"/>
              <a:t>СРЕДНЕЕ ЗНАЧЕНИЕ ПРИВЕДЁННЫХ ОТНОСИТЕЛЬНЫХ ОЦЕНОК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0.15319444444444447"/>
          <c:w val="0.8839606299212597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Лист1!$S$18:$AG$18</c:f>
              <c:numCache>
                <c:formatCode>0.00</c:formatCode>
                <c:ptCount val="15"/>
                <c:pt idx="0">
                  <c:v>0.97125424486110534</c:v>
                </c:pt>
                <c:pt idx="1">
                  <c:v>1.0145464584010204</c:v>
                </c:pt>
                <c:pt idx="2">
                  <c:v>1.0309068843188962</c:v>
                </c:pt>
                <c:pt idx="3">
                  <c:v>1.0704309647022408</c:v>
                </c:pt>
                <c:pt idx="4">
                  <c:v>1.0857855389956077</c:v>
                </c:pt>
                <c:pt idx="5">
                  <c:v>0.99935256424757113</c:v>
                </c:pt>
                <c:pt idx="6">
                  <c:v>1.0486879473840391</c:v>
                </c:pt>
                <c:pt idx="7">
                  <c:v>1.0118651908794196</c:v>
                </c:pt>
                <c:pt idx="8">
                  <c:v>1.0313917917344315</c:v>
                </c:pt>
                <c:pt idx="9">
                  <c:v>1.021883734628108</c:v>
                </c:pt>
                <c:pt idx="10">
                  <c:v>0.95264576024717873</c:v>
                </c:pt>
                <c:pt idx="11">
                  <c:v>0.96565605883937777</c:v>
                </c:pt>
                <c:pt idx="12">
                  <c:v>0.9604521292697682</c:v>
                </c:pt>
                <c:pt idx="13">
                  <c:v>0.9533921559906946</c:v>
                </c:pt>
                <c:pt idx="14">
                  <c:v>0.92946477879244938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3-417C-BD9C-30D8B16C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5752304"/>
        <c:axId val="1025747504"/>
      </c:lineChart>
      <c:catAx>
        <c:axId val="102575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5747504"/>
        <c:crosses val="autoZero"/>
        <c:auto val="1"/>
        <c:lblAlgn val="ctr"/>
        <c:lblOffset val="100"/>
        <c:noMultiLvlLbl val="0"/>
      </c:catAx>
      <c:valAx>
        <c:axId val="10257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575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92</xdr:row>
      <xdr:rowOff>165100</xdr:rowOff>
    </xdr:from>
    <xdr:to>
      <xdr:col>12</xdr:col>
      <xdr:colOff>965200</xdr:colOff>
      <xdr:row>140</xdr:row>
      <xdr:rowOff>12700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F612C84-F3D2-AFFC-76CC-19A3F19E9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38289</xdr:colOff>
      <xdr:row>23</xdr:row>
      <xdr:rowOff>36286</xdr:rowOff>
    </xdr:from>
    <xdr:to>
      <xdr:col>40</xdr:col>
      <xdr:colOff>300645</xdr:colOff>
      <xdr:row>69</xdr:row>
      <xdr:rowOff>100693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6333F42-D352-85E9-B82B-48172DA30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203200</xdr:colOff>
      <xdr:row>74</xdr:row>
      <xdr:rowOff>50800</xdr:rowOff>
    </xdr:from>
    <xdr:to>
      <xdr:col>39</xdr:col>
      <xdr:colOff>406400</xdr:colOff>
      <xdr:row>120</xdr:row>
      <xdr:rowOff>152400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1576176-36E4-0E61-C162-63C6F00F9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1"/>
  <sheetViews>
    <sheetView tabSelected="1" topLeftCell="A92" zoomScale="76" zoomScaleNormal="50" workbookViewId="0">
      <selection activeCell="N137" sqref="N137"/>
    </sheetView>
  </sheetViews>
  <sheetFormatPr defaultRowHeight="14.4" x14ac:dyDescent="0.3"/>
  <cols>
    <col min="1" max="1" width="15" customWidth="1"/>
    <col min="2" max="17" width="16.21875" customWidth="1"/>
  </cols>
  <sheetData>
    <row r="1" spans="1:41" ht="15" thickBot="1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S1" s="19" t="s">
        <v>181</v>
      </c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41" ht="15" thickBot="1" x14ac:dyDescent="0.35">
      <c r="A2" s="13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10" t="s">
        <v>9</v>
      </c>
      <c r="S2" s="3">
        <v>0.96057402978165274</v>
      </c>
      <c r="T2" s="3">
        <v>0.99066430059408994</v>
      </c>
      <c r="U2" s="3">
        <v>1.0010801635676261</v>
      </c>
      <c r="V2" s="3">
        <v>1.1388010184399355</v>
      </c>
      <c r="W2" s="3">
        <v>1.3413316873698018</v>
      </c>
      <c r="X2" s="3">
        <v>1.035799706812746</v>
      </c>
      <c r="Y2" s="3">
        <v>1.3089267803410229</v>
      </c>
      <c r="Z2" s="3">
        <v>0.48838824164802108</v>
      </c>
      <c r="AA2" s="3">
        <v>0.91543862356299666</v>
      </c>
      <c r="AB2" s="3">
        <v>1.0612607051925007</v>
      </c>
      <c r="AC2" s="3">
        <v>0.7233238176066662</v>
      </c>
      <c r="AD2" s="3">
        <v>0.92932644086104477</v>
      </c>
      <c r="AE2" s="3">
        <v>1.1654193349278608</v>
      </c>
      <c r="AF2" s="3">
        <v>0.89923617004860756</v>
      </c>
      <c r="AG2" s="3">
        <v>1.0404289792454287</v>
      </c>
    </row>
    <row r="3" spans="1:41" x14ac:dyDescent="0.3">
      <c r="A3" s="14" t="s">
        <v>10</v>
      </c>
      <c r="B3">
        <v>3.18</v>
      </c>
      <c r="C3">
        <v>3.11</v>
      </c>
      <c r="D3">
        <v>3.65</v>
      </c>
      <c r="E3">
        <v>4.32</v>
      </c>
      <c r="F3">
        <v>4.3899999999999997</v>
      </c>
      <c r="G3">
        <v>3.64</v>
      </c>
      <c r="H3">
        <v>3.76</v>
      </c>
      <c r="I3" s="5">
        <v>3.72</v>
      </c>
      <c r="S3" s="3">
        <v>1.0841998478316006</v>
      </c>
      <c r="T3" s="3">
        <v>1.08895511032209</v>
      </c>
      <c r="U3" s="3">
        <v>0.91491250317017525</v>
      </c>
      <c r="V3" s="3">
        <v>1.0661298503677406</v>
      </c>
      <c r="W3" s="3">
        <v>0.89018513821962986</v>
      </c>
      <c r="X3" s="3">
        <v>1.1003677402992649</v>
      </c>
      <c r="Y3" s="3">
        <v>1.0299898554400204</v>
      </c>
      <c r="Z3" s="3">
        <v>0.94724828810550343</v>
      </c>
      <c r="AA3" s="3">
        <v>0.97768196804463625</v>
      </c>
      <c r="AB3" s="3">
        <v>0.80459041339081927</v>
      </c>
      <c r="AC3" s="3">
        <v>1.0223814354552374</v>
      </c>
      <c r="AD3" s="3">
        <v>1.0927593203144816</v>
      </c>
      <c r="AE3" s="3">
        <v>1.0100177529799645</v>
      </c>
      <c r="AF3" s="3">
        <v>0.94915039310169935</v>
      </c>
      <c r="AG3" s="3">
        <v>1.0214303829571396</v>
      </c>
    </row>
    <row r="4" spans="1:41" x14ac:dyDescent="0.3">
      <c r="A4" s="14" t="s">
        <v>11</v>
      </c>
      <c r="B4">
        <v>70</v>
      </c>
      <c r="C4">
        <v>70</v>
      </c>
      <c r="D4">
        <v>80</v>
      </c>
      <c r="E4">
        <v>90</v>
      </c>
      <c r="F4">
        <v>95</v>
      </c>
      <c r="G4">
        <v>93</v>
      </c>
      <c r="H4">
        <v>88</v>
      </c>
      <c r="I4" s="5">
        <v>87</v>
      </c>
      <c r="S4" s="3">
        <v>1.1723790322580643</v>
      </c>
      <c r="T4" s="3">
        <v>1.3346774193548385</v>
      </c>
      <c r="U4" s="3">
        <v>1.2651209677419355</v>
      </c>
      <c r="V4" s="3">
        <v>1.25</v>
      </c>
      <c r="W4" s="3">
        <v>1.0100806451612903</v>
      </c>
      <c r="X4" s="3">
        <v>0.92741935483870963</v>
      </c>
      <c r="Y4" s="3">
        <v>0.82963709677419351</v>
      </c>
      <c r="Z4" s="3">
        <v>0.84677419354838701</v>
      </c>
      <c r="AA4" s="3">
        <v>0.87903225806451601</v>
      </c>
      <c r="AB4" s="3">
        <v>1.0151209677419355</v>
      </c>
      <c r="AC4" s="3">
        <v>0.97278225806451601</v>
      </c>
      <c r="AD4" s="3">
        <v>0.88104838709677424</v>
      </c>
      <c r="AE4" s="3">
        <v>0.79435483870967727</v>
      </c>
      <c r="AF4" s="3">
        <v>0.86189516129032251</v>
      </c>
      <c r="AG4" s="3">
        <v>0.95967741935483863</v>
      </c>
    </row>
    <row r="5" spans="1:41" x14ac:dyDescent="0.3">
      <c r="A5" s="14" t="s">
        <v>12</v>
      </c>
      <c r="B5">
        <v>74</v>
      </c>
      <c r="C5">
        <v>68</v>
      </c>
      <c r="D5">
        <v>81</v>
      </c>
      <c r="E5">
        <v>94</v>
      </c>
      <c r="F5">
        <v>95</v>
      </c>
      <c r="G5">
        <v>85</v>
      </c>
      <c r="H5">
        <v>86</v>
      </c>
      <c r="I5" s="5">
        <v>84</v>
      </c>
      <c r="K5" s="18" t="s">
        <v>180</v>
      </c>
      <c r="S5" s="3">
        <v>1.0406320541760723</v>
      </c>
      <c r="T5" s="3">
        <v>1.038374717832957</v>
      </c>
      <c r="U5" s="3">
        <v>1.2381489841986455</v>
      </c>
      <c r="V5" s="3">
        <v>1.2291196388261851</v>
      </c>
      <c r="W5" s="3">
        <v>1.2708803611738149</v>
      </c>
      <c r="X5" s="3">
        <v>1.1117381489841986</v>
      </c>
      <c r="Y5" s="3">
        <v>0.98081264108352151</v>
      </c>
      <c r="Z5" s="3">
        <v>1.0959367945823928</v>
      </c>
      <c r="AA5" s="3">
        <v>1</v>
      </c>
      <c r="AB5" s="3">
        <v>0.82167042889390507</v>
      </c>
      <c r="AC5" s="3">
        <v>0.85553047404063198</v>
      </c>
      <c r="AD5" s="3">
        <v>0.74717832957110608</v>
      </c>
      <c r="AE5" s="3">
        <v>0.7832957110609482</v>
      </c>
      <c r="AF5" s="3">
        <v>0.98306997742663649</v>
      </c>
      <c r="AG5" s="3">
        <v>0.80361173814898423</v>
      </c>
      <c r="AH5" s="3"/>
    </row>
    <row r="6" spans="1:41" x14ac:dyDescent="0.3">
      <c r="A6" s="14" t="s">
        <v>13</v>
      </c>
      <c r="B6" s="1">
        <f t="shared" ref="B6:I6" si="0">(B3*20+B4+B5)/3</f>
        <v>69.2</v>
      </c>
      <c r="C6" s="1">
        <f t="shared" si="0"/>
        <v>66.733333333333334</v>
      </c>
      <c r="D6" s="1">
        <f t="shared" si="0"/>
        <v>78</v>
      </c>
      <c r="E6" s="1">
        <f t="shared" si="0"/>
        <v>90.133333333333326</v>
      </c>
      <c r="F6" s="1">
        <f t="shared" si="0"/>
        <v>92.600000000000009</v>
      </c>
      <c r="G6" s="1">
        <f t="shared" si="0"/>
        <v>83.600000000000009</v>
      </c>
      <c r="H6" s="1">
        <f t="shared" si="0"/>
        <v>83.066666666666663</v>
      </c>
      <c r="I6" s="6">
        <f t="shared" si="0"/>
        <v>81.8</v>
      </c>
      <c r="K6" s="1">
        <f>AVERAGE(B6:I6)</f>
        <v>80.641666666666666</v>
      </c>
      <c r="S6" s="3">
        <v>1.2553702656868286</v>
      </c>
      <c r="T6" s="3">
        <v>1.2514132278123229</v>
      </c>
      <c r="U6" s="3">
        <v>1.1683154324477103</v>
      </c>
      <c r="V6" s="3">
        <v>1.1228094968908986</v>
      </c>
      <c r="W6" s="3">
        <v>1.2949406444318821</v>
      </c>
      <c r="X6" s="3">
        <v>1.0298191068400222</v>
      </c>
      <c r="Y6" s="3">
        <v>1.2068965517241377</v>
      </c>
      <c r="Z6" s="3">
        <v>1.1791972866025999</v>
      </c>
      <c r="AA6" s="3">
        <v>1.0367439231204068</v>
      </c>
      <c r="AB6" s="3">
        <v>1</v>
      </c>
      <c r="AC6" s="3">
        <v>0.76172979084228365</v>
      </c>
      <c r="AD6" s="3">
        <v>0.97046353872244173</v>
      </c>
      <c r="AE6" s="3">
        <v>0.5510175240248727</v>
      </c>
      <c r="AF6" s="3">
        <v>0.67071791972866002</v>
      </c>
      <c r="AG6" s="3">
        <v>0.5005652911249292</v>
      </c>
      <c r="AH6" s="3"/>
    </row>
    <row r="7" spans="1:41" ht="15" thickBot="1" x14ac:dyDescent="0.35">
      <c r="A7" s="14" t="s">
        <v>179</v>
      </c>
      <c r="B7" s="11">
        <f>B6/$K6</f>
        <v>0.85811718507802004</v>
      </c>
      <c r="C7" s="11">
        <f t="shared" ref="C7:I7" si="1">C6/$K6</f>
        <v>0.82752919293169369</v>
      </c>
      <c r="D7" s="11">
        <f t="shared" si="1"/>
        <v>0.96724191381626534</v>
      </c>
      <c r="E7" s="11">
        <f t="shared" si="1"/>
        <v>1.1177017670765732</v>
      </c>
      <c r="F7" s="11">
        <f t="shared" si="1"/>
        <v>1.1482897592228998</v>
      </c>
      <c r="G7" s="11">
        <f t="shared" si="1"/>
        <v>1.0366849230133306</v>
      </c>
      <c r="H7" s="11">
        <f t="shared" si="1"/>
        <v>1.0300713030898005</v>
      </c>
      <c r="I7" s="12">
        <f t="shared" si="1"/>
        <v>1.0143639557714168</v>
      </c>
      <c r="S7" s="3">
        <v>0.94861329147043438</v>
      </c>
      <c r="T7" s="3">
        <v>1.2272108843537415</v>
      </c>
      <c r="U7" s="3">
        <v>1.3273678702250133</v>
      </c>
      <c r="V7" s="3">
        <v>1.31</v>
      </c>
      <c r="W7" s="3">
        <v>1.2767137624280482</v>
      </c>
      <c r="X7" s="3">
        <v>0.88184196755625321</v>
      </c>
      <c r="Y7" s="3">
        <v>1.0291993720565149</v>
      </c>
      <c r="Z7" s="3">
        <v>1</v>
      </c>
      <c r="AA7" s="3">
        <v>0.97394034536891683</v>
      </c>
      <c r="AB7" s="3">
        <v>1.0959706959706961</v>
      </c>
      <c r="AC7" s="3">
        <v>0.5399267399267399</v>
      </c>
      <c r="AD7" s="3">
        <v>0.69</v>
      </c>
      <c r="AE7" s="3">
        <v>0.81046572475143919</v>
      </c>
      <c r="AF7" s="3">
        <v>0.88874934589220311</v>
      </c>
      <c r="AG7" s="3">
        <v>0.81622187336473062</v>
      </c>
      <c r="AH7" s="3"/>
      <c r="AI7" s="3"/>
      <c r="AJ7" s="3"/>
    </row>
    <row r="8" spans="1:41" ht="15" thickBot="1" x14ac:dyDescent="0.35">
      <c r="A8" s="13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10" t="s">
        <v>23</v>
      </c>
      <c r="S8" s="3">
        <v>1.0345321451304901</v>
      </c>
      <c r="T8" s="3">
        <v>0.9627625716104391</v>
      </c>
      <c r="U8" s="3">
        <v>0.98289306174411195</v>
      </c>
      <c r="V8" s="3">
        <v>1.08</v>
      </c>
      <c r="W8" s="3">
        <v>1.176320814767664</v>
      </c>
      <c r="X8" s="3">
        <v>1.0056492679821771</v>
      </c>
      <c r="Y8" s="3">
        <v>1.05</v>
      </c>
      <c r="Z8" s="3">
        <v>1.0984245703373647</v>
      </c>
      <c r="AA8" s="3">
        <v>0.93387969446212593</v>
      </c>
      <c r="AB8" s="3">
        <v>0.94</v>
      </c>
      <c r="AC8" s="3">
        <v>0.99427116486314449</v>
      </c>
      <c r="AD8" s="3">
        <v>0.99339592616168049</v>
      </c>
      <c r="AE8" s="3">
        <v>0.93</v>
      </c>
      <c r="AF8" s="3">
        <v>0.9172501591343093</v>
      </c>
      <c r="AG8" s="3">
        <v>0.90062062380649277</v>
      </c>
      <c r="AH8" s="3"/>
      <c r="AI8" s="3"/>
      <c r="AJ8" s="3"/>
      <c r="AK8" s="3"/>
    </row>
    <row r="9" spans="1:41" x14ac:dyDescent="0.3">
      <c r="A9" s="14" t="s">
        <v>10</v>
      </c>
      <c r="B9">
        <v>3.39</v>
      </c>
      <c r="C9">
        <v>3.36</v>
      </c>
      <c r="D9">
        <v>3.55</v>
      </c>
      <c r="E9">
        <v>3.08</v>
      </c>
      <c r="F9">
        <v>3.56</v>
      </c>
      <c r="G9">
        <v>3.37</v>
      </c>
      <c r="H9">
        <v>3.39</v>
      </c>
      <c r="I9">
        <v>2.88</v>
      </c>
      <c r="J9" s="5">
        <v>3.23</v>
      </c>
      <c r="S9" s="3">
        <v>0.7222799123110647</v>
      </c>
      <c r="T9" s="3">
        <f>AVERAGE(S9,U9)</f>
        <v>0.92073381793007947</v>
      </c>
      <c r="U9" s="3">
        <v>1.1191877235490941</v>
      </c>
      <c r="V9" s="3">
        <v>1.1976462443752163</v>
      </c>
      <c r="W9" s="3">
        <f>AVERAGE(V9,X9)</f>
        <v>1.190723433714088</v>
      </c>
      <c r="X9" s="3">
        <f>AVERAGE(V9,Y9)</f>
        <v>1.1838006230529594</v>
      </c>
      <c r="Y9" s="3">
        <v>1.1699550017307025</v>
      </c>
      <c r="Z9" s="3">
        <f>AVERAGE(Y9,AA9)</f>
        <v>1.156686281296873</v>
      </c>
      <c r="AA9" s="3">
        <v>1.1434175608630435</v>
      </c>
      <c r="AB9" s="3">
        <v>1.0822660666897426</v>
      </c>
      <c r="AC9" s="3">
        <f>AVERAGE(AB9,AD9)</f>
        <v>0.97842390677281621</v>
      </c>
      <c r="AD9" s="3">
        <v>0.87458174685588996</v>
      </c>
      <c r="AE9" s="3">
        <v>1.0141917618553131</v>
      </c>
      <c r="AF9" s="3">
        <f>AVERAGE(AE9,AG9)</f>
        <v>0.81516095534787114</v>
      </c>
      <c r="AG9" s="3">
        <v>0.61613014884042916</v>
      </c>
      <c r="AH9" s="3"/>
      <c r="AI9" s="3"/>
      <c r="AJ9" s="3"/>
      <c r="AK9" s="3"/>
      <c r="AL9" s="3"/>
    </row>
    <row r="10" spans="1:41" x14ac:dyDescent="0.3">
      <c r="A10" s="14" t="s">
        <v>11</v>
      </c>
      <c r="B10">
        <v>43</v>
      </c>
      <c r="C10">
        <v>62</v>
      </c>
      <c r="D10">
        <v>42</v>
      </c>
      <c r="E10">
        <v>40</v>
      </c>
      <c r="F10">
        <v>66</v>
      </c>
      <c r="G10">
        <v>61</v>
      </c>
      <c r="H10">
        <v>65</v>
      </c>
      <c r="I10">
        <v>63</v>
      </c>
      <c r="J10" s="5">
        <v>65</v>
      </c>
      <c r="S10" s="3">
        <v>0.94131860545391788</v>
      </c>
      <c r="T10" s="3">
        <f>AVERAGE(S10,U10)</f>
        <v>0.99672074559889534</v>
      </c>
      <c r="U10" s="3">
        <v>1.0521228857438729</v>
      </c>
      <c r="V10" s="3">
        <v>0.97342078011736277</v>
      </c>
      <c r="W10" s="3">
        <f>AVERAGE(V10,X10)</f>
        <v>0.9180186399723852</v>
      </c>
      <c r="X10" s="3">
        <v>0.86261649982740762</v>
      </c>
      <c r="Y10" s="3">
        <v>1.1090783569209526</v>
      </c>
      <c r="Z10" s="3">
        <f>AVERAGE(Y10,AA10)</f>
        <v>1.0707628581290991</v>
      </c>
      <c r="AA10" s="3">
        <v>1.0324473593372454</v>
      </c>
      <c r="AB10" s="3">
        <f>AVERAGE(AA10,AC10)</f>
        <v>1.0490162236796685</v>
      </c>
      <c r="AC10" s="3">
        <v>1.0655850880220918</v>
      </c>
      <c r="AD10" s="3">
        <f>AVERAGE(AC10,AE10)</f>
        <v>0.99775629962029688</v>
      </c>
      <c r="AE10" s="3">
        <v>0.92992751121850192</v>
      </c>
      <c r="AF10" s="3">
        <f>AVERAGE(AE10,AG10)</f>
        <v>0.98170521228857432</v>
      </c>
      <c r="AG10" s="3">
        <v>1.0334829133586467</v>
      </c>
      <c r="AH10" s="3"/>
      <c r="AI10" s="3"/>
      <c r="AJ10" s="3"/>
      <c r="AK10" s="3"/>
      <c r="AL10" s="3"/>
      <c r="AM10" s="3"/>
    </row>
    <row r="11" spans="1:41" x14ac:dyDescent="0.3">
      <c r="A11" s="14" t="s">
        <v>12</v>
      </c>
      <c r="B11">
        <v>71</v>
      </c>
      <c r="C11">
        <v>74</v>
      </c>
      <c r="D11">
        <v>75</v>
      </c>
      <c r="E11">
        <v>65</v>
      </c>
      <c r="F11">
        <v>77</v>
      </c>
      <c r="G11">
        <v>71</v>
      </c>
      <c r="H11">
        <v>73</v>
      </c>
      <c r="I11">
        <v>59</v>
      </c>
      <c r="J11" s="5">
        <v>70</v>
      </c>
      <c r="L11" s="18" t="s">
        <v>180</v>
      </c>
      <c r="S11" s="3">
        <v>0.72952218430034144</v>
      </c>
      <c r="T11" s="3">
        <f t="shared" ref="T11:X16" si="2">AVERAGE(S11,U11)</f>
        <v>0.73061921014139464</v>
      </c>
      <c r="U11" s="3">
        <v>0.73171623598244773</v>
      </c>
      <c r="V11" s="3">
        <v>1.0399804973183813</v>
      </c>
      <c r="W11" s="3">
        <f t="shared" ref="W11:W12" si="3">AVERAGE(V11,X11)</f>
        <v>0.95276694295465636</v>
      </c>
      <c r="X11" s="3">
        <v>0.86555338859093134</v>
      </c>
      <c r="Y11" s="3">
        <v>1.1979522184300342</v>
      </c>
      <c r="Z11" s="3">
        <f t="shared" ref="Z11:Z15" si="4">AVERAGE(Y11,AA11)</f>
        <v>1.1941126279863483</v>
      </c>
      <c r="AA11" s="3">
        <v>1.1902730375426622</v>
      </c>
      <c r="AB11" s="3">
        <f t="shared" ref="AB11:AC15" si="5">AVERAGE(AA11,AC11)</f>
        <v>1.210019502681619</v>
      </c>
      <c r="AC11" s="3">
        <v>1.2297659678205755</v>
      </c>
      <c r="AD11" s="3">
        <f t="shared" ref="AD11:AD14" si="6">AVERAGE(AC11,AE11)</f>
        <v>1.0926377376889322</v>
      </c>
      <c r="AE11" s="3">
        <v>0.95550950755728914</v>
      </c>
      <c r="AF11" s="3">
        <f t="shared" ref="AF11:AF16" si="7">AVERAGE(AE11,AG11)</f>
        <v>1.0076182350073135</v>
      </c>
      <c r="AG11" s="3">
        <v>1.0597269624573378</v>
      </c>
      <c r="AH11" s="3"/>
      <c r="AI11" s="3"/>
      <c r="AJ11" s="3"/>
      <c r="AK11" s="3"/>
      <c r="AL11" s="3"/>
      <c r="AM11" s="3"/>
    </row>
    <row r="12" spans="1:41" x14ac:dyDescent="0.3">
      <c r="A12" s="14" t="s">
        <v>13</v>
      </c>
      <c r="B12" s="1">
        <f>(B9*20+B10+B11)/3</f>
        <v>60.6</v>
      </c>
      <c r="C12" s="1">
        <f t="shared" ref="C12:J12" si="8">(C9*20+C10+C11)/3</f>
        <v>67.733333333333334</v>
      </c>
      <c r="D12" s="1">
        <f t="shared" si="8"/>
        <v>62.666666666666664</v>
      </c>
      <c r="E12" s="1">
        <f t="shared" si="8"/>
        <v>55.533333333333331</v>
      </c>
      <c r="F12" s="1">
        <f t="shared" si="8"/>
        <v>71.399999999999991</v>
      </c>
      <c r="G12" s="1">
        <f t="shared" si="8"/>
        <v>66.466666666666669</v>
      </c>
      <c r="H12" s="1">
        <f t="shared" si="8"/>
        <v>68.600000000000009</v>
      </c>
      <c r="I12" s="1">
        <f t="shared" si="8"/>
        <v>59.866666666666667</v>
      </c>
      <c r="J12" s="6">
        <f t="shared" si="8"/>
        <v>66.533333333333331</v>
      </c>
      <c r="L12" s="1">
        <f>AVERAGE(B12:J12)</f>
        <v>64.37777777777778</v>
      </c>
      <c r="S12" s="3">
        <v>1.1104751763609744</v>
      </c>
      <c r="T12" s="3">
        <f t="shared" si="2"/>
        <v>1.0391987222148278</v>
      </c>
      <c r="U12" s="3">
        <v>0.96792226806868098</v>
      </c>
      <c r="V12" s="3">
        <v>0.73792093704245976</v>
      </c>
      <c r="W12" s="3">
        <f t="shared" si="3"/>
        <v>0.82836416877412478</v>
      </c>
      <c r="X12" s="3">
        <v>0.91880740050578991</v>
      </c>
      <c r="Y12" s="3">
        <v>0.82057766538000798</v>
      </c>
      <c r="Z12" s="3">
        <f t="shared" si="4"/>
        <v>0.85951018235059229</v>
      </c>
      <c r="AA12" s="3">
        <v>0.8984426993211766</v>
      </c>
      <c r="AB12" s="3">
        <f t="shared" si="5"/>
        <v>0.93557833089311859</v>
      </c>
      <c r="AC12" s="3">
        <v>0.97271396246506059</v>
      </c>
      <c r="AD12" s="3">
        <f t="shared" si="6"/>
        <v>1.1643817383202448</v>
      </c>
      <c r="AE12" s="3">
        <v>1.3560495141754292</v>
      </c>
      <c r="AF12" s="3">
        <f t="shared" si="7"/>
        <v>1.2865699454279249</v>
      </c>
      <c r="AG12" s="3">
        <v>1.2170903766804206</v>
      </c>
      <c r="AH12" s="3"/>
      <c r="AI12" s="3"/>
      <c r="AJ12" s="3"/>
      <c r="AK12" s="3"/>
      <c r="AL12" s="3"/>
      <c r="AM12" s="3"/>
    </row>
    <row r="13" spans="1:41" ht="15" thickBot="1" x14ac:dyDescent="0.35">
      <c r="A13" s="14" t="s">
        <v>179</v>
      </c>
      <c r="B13" s="7">
        <f>B12/$L12</f>
        <v>0.94131860545391788</v>
      </c>
      <c r="C13" s="7">
        <f t="shared" ref="C13:J13" si="9">C12/$L12</f>
        <v>1.0521228857438729</v>
      </c>
      <c r="D13" s="7">
        <f t="shared" si="9"/>
        <v>0.97342078011736277</v>
      </c>
      <c r="E13" s="7">
        <f t="shared" si="9"/>
        <v>0.86261649982740762</v>
      </c>
      <c r="F13" s="7">
        <f t="shared" si="9"/>
        <v>1.1090783569209526</v>
      </c>
      <c r="G13" s="7">
        <f t="shared" si="9"/>
        <v>1.0324473593372454</v>
      </c>
      <c r="H13" s="7">
        <f t="shared" si="9"/>
        <v>1.0655850880220918</v>
      </c>
      <c r="I13" s="7">
        <f t="shared" si="9"/>
        <v>0.92992751121850192</v>
      </c>
      <c r="J13" s="8">
        <f t="shared" si="9"/>
        <v>1.0334829133586467</v>
      </c>
      <c r="S13" s="3">
        <v>0.85811718507802004</v>
      </c>
      <c r="T13" s="3">
        <f t="shared" si="2"/>
        <v>0.84282318900485687</v>
      </c>
      <c r="U13" s="3">
        <v>0.82752919293169369</v>
      </c>
      <c r="V13" s="3">
        <f t="shared" si="2"/>
        <v>0.89738555337397952</v>
      </c>
      <c r="W13" s="3">
        <v>0.96724191381626534</v>
      </c>
      <c r="X13" s="3">
        <f t="shared" si="2"/>
        <v>1.0424718404464193</v>
      </c>
      <c r="Y13" s="3">
        <v>1.1177017670765732</v>
      </c>
      <c r="Z13" s="3">
        <f t="shared" si="4"/>
        <v>1.1329957631497365</v>
      </c>
      <c r="AA13" s="3">
        <v>1.1482897592228998</v>
      </c>
      <c r="AB13" s="3">
        <f t="shared" si="5"/>
        <v>1.0924873411181153</v>
      </c>
      <c r="AC13" s="3">
        <v>1.0366849230133306</v>
      </c>
      <c r="AD13" s="3">
        <f t="shared" si="6"/>
        <v>1.0333781130515656</v>
      </c>
      <c r="AE13" s="3">
        <v>1.0300713030898005</v>
      </c>
      <c r="AF13" s="3">
        <f t="shared" si="7"/>
        <v>1.0222176294306102</v>
      </c>
      <c r="AG13" s="3">
        <v>1.0143639557714199</v>
      </c>
      <c r="AH13" s="3"/>
      <c r="AI13" s="3"/>
      <c r="AJ13" s="3"/>
      <c r="AK13" s="3"/>
      <c r="AL13" s="3"/>
      <c r="AM13" s="3"/>
      <c r="AN13" s="3"/>
    </row>
    <row r="14" spans="1:41" ht="15" thickBot="1" x14ac:dyDescent="0.35">
      <c r="A14" s="13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9" t="s">
        <v>29</v>
      </c>
      <c r="G14" s="9" t="s">
        <v>30</v>
      </c>
      <c r="H14" s="9" t="s">
        <v>31</v>
      </c>
      <c r="I14" s="10" t="s">
        <v>32</v>
      </c>
      <c r="S14" s="3">
        <v>0.88878801634135263</v>
      </c>
      <c r="T14" s="3">
        <f t="shared" si="2"/>
        <v>0.84021788470267811</v>
      </c>
      <c r="U14" s="3">
        <v>0.79164775306400359</v>
      </c>
      <c r="V14" s="3">
        <f t="shared" si="2"/>
        <v>0.88288697231048563</v>
      </c>
      <c r="W14" s="3">
        <v>0.97412619155696767</v>
      </c>
      <c r="X14" s="3">
        <f t="shared" si="2"/>
        <v>0.91920108942351331</v>
      </c>
      <c r="Y14" s="3">
        <v>0.86427598729005894</v>
      </c>
      <c r="Z14" s="3">
        <f t="shared" si="4"/>
        <v>0.98683613254652747</v>
      </c>
      <c r="AA14" s="3">
        <v>1.109396277802996</v>
      </c>
      <c r="AB14" s="3">
        <f t="shared" si="5"/>
        <v>1.1379936450295052</v>
      </c>
      <c r="AC14" s="3">
        <v>1.1665910122560146</v>
      </c>
      <c r="AD14" s="3">
        <f t="shared" si="6"/>
        <v>1.1402632773490695</v>
      </c>
      <c r="AE14" s="3">
        <v>1.1139355424421242</v>
      </c>
      <c r="AF14" s="3">
        <f t="shared" si="7"/>
        <v>1.1025873808443032</v>
      </c>
      <c r="AG14" s="3">
        <v>1.0912392192464822</v>
      </c>
      <c r="AH14" s="3"/>
      <c r="AI14" s="3"/>
      <c r="AJ14" s="3"/>
      <c r="AK14" s="3"/>
      <c r="AL14" s="3"/>
      <c r="AM14" s="3"/>
      <c r="AN14" s="3"/>
    </row>
    <row r="15" spans="1:41" x14ac:dyDescent="0.3">
      <c r="A15" s="14" t="s">
        <v>10</v>
      </c>
      <c r="B15">
        <v>2.94</v>
      </c>
      <c r="C15">
        <v>2.4700000000000002</v>
      </c>
      <c r="D15">
        <v>3.38</v>
      </c>
      <c r="E15">
        <v>2.97</v>
      </c>
      <c r="F15">
        <v>3.92</v>
      </c>
      <c r="G15">
        <v>4.0999999999999996</v>
      </c>
      <c r="H15">
        <v>3.77</v>
      </c>
      <c r="I15" s="5">
        <v>3.67</v>
      </c>
      <c r="S15" s="3">
        <v>0.81201192673576605</v>
      </c>
      <c r="T15" s="3">
        <f t="shared" si="2"/>
        <v>0.92382507454209861</v>
      </c>
      <c r="U15" s="3">
        <v>1.0356382223484311</v>
      </c>
      <c r="V15" s="3">
        <f t="shared" si="2"/>
        <v>1.0803634814709642</v>
      </c>
      <c r="W15" s="3">
        <v>1.1250887405934971</v>
      </c>
      <c r="X15" s="3">
        <f t="shared" si="2"/>
        <v>1.0252023285531733</v>
      </c>
      <c r="Y15" s="3">
        <v>0.92531591651284961</v>
      </c>
      <c r="Z15" s="3">
        <f t="shared" si="4"/>
        <v>1.0411046429078519</v>
      </c>
      <c r="AA15" s="3">
        <v>1.156893369302854</v>
      </c>
      <c r="AB15" s="3">
        <f>AA15-(AA15-AD15)/2</f>
        <v>1.0122816981399971</v>
      </c>
      <c r="AC15" s="3">
        <f t="shared" si="5"/>
        <v>0.9399758625585688</v>
      </c>
      <c r="AD15" s="3">
        <v>0.86767002697714035</v>
      </c>
      <c r="AE15" s="3">
        <f>AD15-(AD15-AG15)/2</f>
        <v>0.97252591225330121</v>
      </c>
      <c r="AF15" s="3">
        <f t="shared" si="7"/>
        <v>1.0249538548913817</v>
      </c>
      <c r="AG15" s="3">
        <v>1.0773817975294619</v>
      </c>
      <c r="AH15" s="3"/>
      <c r="AI15" s="3"/>
      <c r="AJ15" s="3"/>
      <c r="AK15" s="3"/>
      <c r="AL15" s="3"/>
      <c r="AM15" s="3"/>
      <c r="AN15" s="3"/>
      <c r="AO15" s="3"/>
    </row>
    <row r="16" spans="1:41" x14ac:dyDescent="0.3">
      <c r="A16" s="14" t="s">
        <v>11</v>
      </c>
      <c r="B16">
        <v>72</v>
      </c>
      <c r="C16">
        <v>72</v>
      </c>
      <c r="D16">
        <v>70</v>
      </c>
      <c r="E16">
        <v>65</v>
      </c>
      <c r="F16">
        <v>80</v>
      </c>
      <c r="G16">
        <v>85</v>
      </c>
      <c r="H16">
        <v>86</v>
      </c>
      <c r="I16" s="5">
        <v>83</v>
      </c>
      <c r="S16" s="3">
        <v>1.01</v>
      </c>
      <c r="T16" s="3">
        <f>S16-(S16-V16)/2</f>
        <v>1.03</v>
      </c>
      <c r="U16" s="3">
        <f t="shared" si="2"/>
        <v>1.04</v>
      </c>
      <c r="V16" s="3">
        <v>1.05</v>
      </c>
      <c r="W16" s="3">
        <f>V16-(V16-Y16)/2</f>
        <v>1.07</v>
      </c>
      <c r="X16" s="3">
        <f t="shared" si="2"/>
        <v>1.08</v>
      </c>
      <c r="Y16" s="3">
        <v>1.0900000000000001</v>
      </c>
      <c r="Z16" s="3">
        <f>Y16-(Y16-AB16)/2</f>
        <v>1.08</v>
      </c>
      <c r="AA16" s="3">
        <f t="shared" ref="AA16" si="10">AVERAGE(Z16,AB16)</f>
        <v>1.0750000000000002</v>
      </c>
      <c r="AB16" s="3">
        <v>1.07</v>
      </c>
      <c r="AC16" s="3">
        <f>AB16-(AB16-AE16)/2</f>
        <v>1.03</v>
      </c>
      <c r="AD16" s="3">
        <f t="shared" ref="AD16" si="11">AVERAGE(AC16,AE16)</f>
        <v>1.01</v>
      </c>
      <c r="AE16" s="3">
        <v>0.99</v>
      </c>
      <c r="AF16" s="3">
        <f t="shared" si="7"/>
        <v>0.89</v>
      </c>
      <c r="AG16" s="3">
        <v>0.79</v>
      </c>
    </row>
    <row r="17" spans="1:33" x14ac:dyDescent="0.3">
      <c r="A17" s="14" t="s">
        <v>12</v>
      </c>
      <c r="B17">
        <v>65</v>
      </c>
      <c r="C17">
        <v>53</v>
      </c>
      <c r="D17">
        <v>77</v>
      </c>
      <c r="E17">
        <v>66</v>
      </c>
      <c r="F17">
        <v>86</v>
      </c>
      <c r="G17">
        <v>90</v>
      </c>
      <c r="H17">
        <v>84</v>
      </c>
      <c r="I17" s="5">
        <v>84</v>
      </c>
      <c r="K17" s="18" t="s">
        <v>180</v>
      </c>
      <c r="S17" s="20" t="s">
        <v>182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x14ac:dyDescent="0.3">
      <c r="A18" s="14" t="s">
        <v>13</v>
      </c>
      <c r="B18" s="1">
        <f>(B15*20+B16+B17)/3</f>
        <v>65.266666666666666</v>
      </c>
      <c r="C18" s="1">
        <f t="shared" ref="C18:I18" si="12">(C15*20+C16+C17)/3</f>
        <v>58.133333333333333</v>
      </c>
      <c r="D18" s="1">
        <f t="shared" si="12"/>
        <v>71.533333333333331</v>
      </c>
      <c r="E18" s="1">
        <f t="shared" si="12"/>
        <v>63.466666666666669</v>
      </c>
      <c r="F18" s="1">
        <f t="shared" si="12"/>
        <v>81.466666666666669</v>
      </c>
      <c r="G18" s="1">
        <f t="shared" si="12"/>
        <v>85.666666666666671</v>
      </c>
      <c r="H18" s="1">
        <f t="shared" si="12"/>
        <v>81.8</v>
      </c>
      <c r="I18" s="6">
        <f t="shared" si="12"/>
        <v>80.13333333333334</v>
      </c>
      <c r="K18" s="1">
        <f>AVERAGE(B18:I18)</f>
        <v>73.433333333333337</v>
      </c>
      <c r="S18" s="3">
        <f>AVERAGE(S2:S16)</f>
        <v>0.97125424486110534</v>
      </c>
      <c r="T18" s="3">
        <f t="shared" ref="T18:AG18" si="13">AVERAGE(T2:T16)</f>
        <v>1.0145464584010204</v>
      </c>
      <c r="U18" s="3">
        <f t="shared" si="13"/>
        <v>1.0309068843188962</v>
      </c>
      <c r="V18" s="3">
        <f t="shared" si="13"/>
        <v>1.0704309647022408</v>
      </c>
      <c r="W18" s="3">
        <f t="shared" si="13"/>
        <v>1.0857855389956077</v>
      </c>
      <c r="X18" s="3">
        <f t="shared" si="13"/>
        <v>0.99935256424757113</v>
      </c>
      <c r="Y18" s="3">
        <f t="shared" si="13"/>
        <v>1.0486879473840391</v>
      </c>
      <c r="Z18" s="3">
        <f t="shared" si="13"/>
        <v>1.0118651908794196</v>
      </c>
      <c r="AA18" s="3">
        <f t="shared" si="13"/>
        <v>1.0313917917344315</v>
      </c>
      <c r="AB18" s="3">
        <f t="shared" si="13"/>
        <v>1.021883734628108</v>
      </c>
      <c r="AC18" s="3">
        <f t="shared" si="13"/>
        <v>0.95264576024717873</v>
      </c>
      <c r="AD18" s="3">
        <f t="shared" si="13"/>
        <v>0.96565605883937777</v>
      </c>
      <c r="AE18" s="3">
        <f t="shared" si="13"/>
        <v>0.9604521292697682</v>
      </c>
      <c r="AF18" s="3">
        <f t="shared" si="13"/>
        <v>0.9533921559906946</v>
      </c>
      <c r="AG18" s="3">
        <f t="shared" si="13"/>
        <v>0.92946477879244938</v>
      </c>
    </row>
    <row r="19" spans="1:33" ht="15" thickBot="1" x14ac:dyDescent="0.35">
      <c r="A19" s="14" t="s">
        <v>179</v>
      </c>
      <c r="B19" s="7">
        <f>B18/$K18</f>
        <v>0.88878801634135263</v>
      </c>
      <c r="C19" s="7">
        <f t="shared" ref="C19:I19" si="14">C18/$K18</f>
        <v>0.79164775306400359</v>
      </c>
      <c r="D19" s="7">
        <f t="shared" si="14"/>
        <v>0.97412619155696767</v>
      </c>
      <c r="E19" s="7">
        <f t="shared" si="14"/>
        <v>0.86427598729005894</v>
      </c>
      <c r="F19" s="7">
        <f t="shared" si="14"/>
        <v>1.109396277802996</v>
      </c>
      <c r="G19" s="7">
        <f t="shared" si="14"/>
        <v>1.1665910122560146</v>
      </c>
      <c r="H19" s="7">
        <f t="shared" si="14"/>
        <v>1.1139355424421242</v>
      </c>
      <c r="I19" s="8">
        <f t="shared" si="14"/>
        <v>1.0912392192464822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" thickBot="1" x14ac:dyDescent="0.35">
      <c r="A20" s="13" t="s">
        <v>33</v>
      </c>
      <c r="B20" s="9" t="s">
        <v>40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38</v>
      </c>
      <c r="H20" s="10" t="s">
        <v>39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14" t="s">
        <v>10</v>
      </c>
      <c r="B21">
        <v>2.62</v>
      </c>
      <c r="C21">
        <v>3.47</v>
      </c>
      <c r="D21">
        <v>3.87</v>
      </c>
      <c r="E21">
        <v>2.96</v>
      </c>
      <c r="F21">
        <v>3.44</v>
      </c>
      <c r="G21">
        <v>2.58</v>
      </c>
      <c r="H21" s="5">
        <v>3.44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">
      <c r="A22" s="14" t="s">
        <v>11</v>
      </c>
      <c r="B22">
        <v>55</v>
      </c>
      <c r="C22">
        <v>64</v>
      </c>
      <c r="D22">
        <v>62</v>
      </c>
      <c r="E22">
        <v>59</v>
      </c>
      <c r="F22">
        <v>83</v>
      </c>
      <c r="G22">
        <v>61</v>
      </c>
      <c r="H22" s="5">
        <v>69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">
      <c r="A23" s="14" t="s">
        <v>12</v>
      </c>
      <c r="B23">
        <v>56</v>
      </c>
      <c r="C23">
        <v>75</v>
      </c>
      <c r="D23">
        <v>87</v>
      </c>
      <c r="E23">
        <v>68</v>
      </c>
      <c r="F23">
        <v>81</v>
      </c>
      <c r="G23">
        <v>62</v>
      </c>
      <c r="H23" s="5">
        <v>79</v>
      </c>
      <c r="K23" s="18" t="s">
        <v>180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">
      <c r="A24" s="14" t="s">
        <v>13</v>
      </c>
      <c r="B24" s="1">
        <f>(B21*20+B22+B23)/3</f>
        <v>54.466666666666669</v>
      </c>
      <c r="C24" s="1">
        <f t="shared" ref="C24:H24" si="15">(C21*20+C22+C23)/3</f>
        <v>69.466666666666669</v>
      </c>
      <c r="D24" s="1">
        <f t="shared" si="15"/>
        <v>75.466666666666669</v>
      </c>
      <c r="E24" s="1">
        <f t="shared" si="15"/>
        <v>62.066666666666663</v>
      </c>
      <c r="F24" s="1">
        <f t="shared" si="15"/>
        <v>77.600000000000009</v>
      </c>
      <c r="G24" s="1">
        <f t="shared" si="15"/>
        <v>58.199999999999996</v>
      </c>
      <c r="H24" s="6">
        <f t="shared" si="15"/>
        <v>72.266666666666666</v>
      </c>
      <c r="K24" s="1">
        <f>AVERAGE(B24:H24)</f>
        <v>67.076190476190476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" thickBot="1" x14ac:dyDescent="0.35">
      <c r="A25" s="14" t="s">
        <v>179</v>
      </c>
      <c r="B25" s="11">
        <f>B24/$K24</f>
        <v>0.81201192673576605</v>
      </c>
      <c r="C25" s="11">
        <f t="shared" ref="C25:H25" si="16">C24/$K24</f>
        <v>1.0356382223484311</v>
      </c>
      <c r="D25" s="11">
        <f t="shared" si="16"/>
        <v>1.1250887405934971</v>
      </c>
      <c r="E25" s="11">
        <f t="shared" si="16"/>
        <v>0.92531591651284961</v>
      </c>
      <c r="F25" s="11">
        <f t="shared" si="16"/>
        <v>1.156893369302854</v>
      </c>
      <c r="G25" s="11">
        <f t="shared" si="16"/>
        <v>0.86767002697714035</v>
      </c>
      <c r="H25" s="12">
        <f t="shared" si="16"/>
        <v>1.0773817975294619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" thickBot="1" x14ac:dyDescent="0.35">
      <c r="A26" s="13" t="s">
        <v>41</v>
      </c>
      <c r="B26" s="9" t="s">
        <v>42</v>
      </c>
      <c r="C26" s="9" t="s">
        <v>43</v>
      </c>
      <c r="D26" s="9" t="s">
        <v>44</v>
      </c>
      <c r="E26" s="9" t="s">
        <v>45</v>
      </c>
      <c r="F26" s="9" t="s">
        <v>46</v>
      </c>
      <c r="G26" s="9" t="s">
        <v>47</v>
      </c>
      <c r="H26" s="9" t="s">
        <v>48</v>
      </c>
      <c r="I26" s="9" t="s">
        <v>49</v>
      </c>
      <c r="J26" s="9" t="s">
        <v>50</v>
      </c>
      <c r="K26" s="9" t="s">
        <v>51</v>
      </c>
      <c r="L26" s="10" t="s">
        <v>52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14" t="s">
        <v>10</v>
      </c>
      <c r="B27">
        <v>3.87</v>
      </c>
      <c r="C27">
        <v>3.6</v>
      </c>
      <c r="D27">
        <v>3.53</v>
      </c>
      <c r="E27">
        <v>4.34</v>
      </c>
      <c r="F27">
        <v>3.49</v>
      </c>
      <c r="G27">
        <v>4.1500000000000004</v>
      </c>
      <c r="H27">
        <v>3.57</v>
      </c>
      <c r="I27">
        <v>3.66</v>
      </c>
      <c r="J27">
        <v>3.65</v>
      </c>
      <c r="K27">
        <v>3.23</v>
      </c>
      <c r="L27" s="5">
        <v>3.19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 s="14" t="s">
        <v>11</v>
      </c>
      <c r="B28">
        <v>75</v>
      </c>
      <c r="C28">
        <v>74</v>
      </c>
      <c r="D28">
        <v>77</v>
      </c>
      <c r="E28">
        <v>89</v>
      </c>
      <c r="F28">
        <v>80</v>
      </c>
      <c r="G28">
        <v>79</v>
      </c>
      <c r="H28">
        <v>70</v>
      </c>
      <c r="I28">
        <v>73</v>
      </c>
      <c r="J28">
        <v>74</v>
      </c>
      <c r="K28">
        <v>74</v>
      </c>
      <c r="L28" s="5">
        <v>71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14" t="s">
        <v>12</v>
      </c>
      <c r="B29">
        <v>84</v>
      </c>
      <c r="C29">
        <v>74</v>
      </c>
      <c r="D29">
        <v>77</v>
      </c>
      <c r="E29">
        <v>93</v>
      </c>
      <c r="F29">
        <v>80</v>
      </c>
      <c r="G29">
        <v>89</v>
      </c>
      <c r="H29">
        <v>72</v>
      </c>
      <c r="I29">
        <v>81</v>
      </c>
      <c r="J29">
        <v>80</v>
      </c>
      <c r="K29">
        <v>71</v>
      </c>
      <c r="L29" s="5">
        <v>71</v>
      </c>
      <c r="O29" s="18" t="s">
        <v>180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">
      <c r="A30" s="14" t="s">
        <v>13</v>
      </c>
      <c r="B30" s="1">
        <f>(B27*20+B28+B29)/3</f>
        <v>78.8</v>
      </c>
      <c r="C30" s="1">
        <f t="shared" ref="C30:L30" si="17">(C27*20+C28+C29)/3</f>
        <v>73.333333333333329</v>
      </c>
      <c r="D30" s="1">
        <f t="shared" si="17"/>
        <v>74.86666666666666</v>
      </c>
      <c r="E30" s="1">
        <f t="shared" si="17"/>
        <v>89.600000000000009</v>
      </c>
      <c r="F30" s="1">
        <f t="shared" si="17"/>
        <v>76.600000000000009</v>
      </c>
      <c r="G30" s="1">
        <f t="shared" si="17"/>
        <v>83.666666666666671</v>
      </c>
      <c r="H30" s="1">
        <f t="shared" si="17"/>
        <v>71.133333333333326</v>
      </c>
      <c r="I30" s="1">
        <f t="shared" si="17"/>
        <v>75.733333333333334</v>
      </c>
      <c r="J30" s="1">
        <f t="shared" si="17"/>
        <v>75.666666666666671</v>
      </c>
      <c r="K30" s="1">
        <f t="shared" si="17"/>
        <v>69.86666666666666</v>
      </c>
      <c r="L30" s="6">
        <f t="shared" si="17"/>
        <v>68.600000000000009</v>
      </c>
      <c r="O30" s="1">
        <f>AVERAGE(B30:L30)</f>
        <v>76.169696969696972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" thickBot="1" x14ac:dyDescent="0.35">
      <c r="A31" s="14" t="s">
        <v>179</v>
      </c>
      <c r="B31" s="11">
        <f>B30/$O30</f>
        <v>1.0345321451304901</v>
      </c>
      <c r="C31" s="11">
        <f t="shared" ref="C31:L31" si="18">C30/$O30</f>
        <v>0.9627625716104391</v>
      </c>
      <c r="D31" s="11">
        <f t="shared" si="18"/>
        <v>0.98289306174411195</v>
      </c>
      <c r="E31" s="11">
        <f t="shared" si="18"/>
        <v>1.176320814767664</v>
      </c>
      <c r="F31" s="11">
        <f t="shared" si="18"/>
        <v>1.0056492679821771</v>
      </c>
      <c r="G31" s="11">
        <f t="shared" si="18"/>
        <v>1.0984245703373647</v>
      </c>
      <c r="H31" s="11">
        <f t="shared" si="18"/>
        <v>0.93387969446212593</v>
      </c>
      <c r="I31" s="11">
        <f t="shared" si="18"/>
        <v>0.99427116486314449</v>
      </c>
      <c r="J31" s="11">
        <f t="shared" si="18"/>
        <v>0.99339592616168049</v>
      </c>
      <c r="K31" s="11">
        <f t="shared" si="18"/>
        <v>0.9172501591343093</v>
      </c>
      <c r="L31" s="12">
        <f t="shared" si="18"/>
        <v>0.90062062380649277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" thickBot="1" x14ac:dyDescent="0.35">
      <c r="A32" s="13" t="s">
        <v>53</v>
      </c>
      <c r="B32" s="9" t="s">
        <v>54</v>
      </c>
      <c r="C32" s="9" t="s">
        <v>55</v>
      </c>
      <c r="D32" s="9" t="s">
        <v>56</v>
      </c>
      <c r="E32" s="9" t="s">
        <v>57</v>
      </c>
      <c r="F32" s="9" t="s">
        <v>58</v>
      </c>
      <c r="G32" s="9" t="s">
        <v>59</v>
      </c>
      <c r="H32" s="9" t="s">
        <v>60</v>
      </c>
      <c r="I32" s="9" t="s">
        <v>61</v>
      </c>
      <c r="J32" s="9" t="s">
        <v>62</v>
      </c>
      <c r="K32" s="9" t="s">
        <v>63</v>
      </c>
      <c r="L32" s="9" t="s">
        <v>64</v>
      </c>
      <c r="M32" s="10" t="s">
        <v>65</v>
      </c>
    </row>
    <row r="33" spans="1:18" x14ac:dyDescent="0.3">
      <c r="A33" s="14" t="s">
        <v>10</v>
      </c>
      <c r="B33">
        <v>2.79</v>
      </c>
      <c r="C33">
        <v>3.51</v>
      </c>
      <c r="D33">
        <v>3.68</v>
      </c>
      <c r="E33">
        <v>3.44</v>
      </c>
      <c r="F33">
        <v>2.16</v>
      </c>
      <c r="G33">
        <v>2.64</v>
      </c>
      <c r="H33">
        <v>2.31</v>
      </c>
      <c r="I33">
        <v>2.72</v>
      </c>
      <c r="J33">
        <v>1.04</v>
      </c>
      <c r="K33">
        <v>1.89</v>
      </c>
      <c r="L33">
        <v>2.02</v>
      </c>
      <c r="M33" s="5">
        <v>2.14</v>
      </c>
    </row>
    <row r="34" spans="1:18" x14ac:dyDescent="0.3">
      <c r="A34" s="14" t="s">
        <v>11</v>
      </c>
      <c r="B34">
        <v>50</v>
      </c>
      <c r="C34">
        <v>65</v>
      </c>
      <c r="D34">
        <v>73</v>
      </c>
      <c r="E34">
        <v>72</v>
      </c>
      <c r="F34">
        <v>64</v>
      </c>
      <c r="G34">
        <v>60</v>
      </c>
      <c r="H34">
        <v>67</v>
      </c>
      <c r="I34">
        <v>69</v>
      </c>
      <c r="J34">
        <v>51</v>
      </c>
      <c r="K34">
        <v>58</v>
      </c>
      <c r="L34">
        <v>63</v>
      </c>
      <c r="M34" s="5">
        <v>50</v>
      </c>
    </row>
    <row r="35" spans="1:18" x14ac:dyDescent="0.3">
      <c r="A35" s="14" t="s">
        <v>12</v>
      </c>
      <c r="B35">
        <v>59</v>
      </c>
      <c r="C35">
        <v>78</v>
      </c>
      <c r="D35">
        <v>84</v>
      </c>
      <c r="E35">
        <v>81</v>
      </c>
      <c r="F35">
        <v>46</v>
      </c>
      <c r="G35">
        <v>66</v>
      </c>
      <c r="H35">
        <v>56</v>
      </c>
      <c r="I35">
        <v>67</v>
      </c>
      <c r="J35">
        <v>22</v>
      </c>
      <c r="K35">
        <v>45</v>
      </c>
      <c r="L35">
        <v>51</v>
      </c>
      <c r="M35" s="5">
        <v>49</v>
      </c>
      <c r="O35" s="18" t="s">
        <v>180</v>
      </c>
    </row>
    <row r="36" spans="1:18" x14ac:dyDescent="0.3">
      <c r="A36" s="14" t="s">
        <v>13</v>
      </c>
      <c r="B36" s="1">
        <f>(B33*20+B34+B35)/3</f>
        <v>54.933333333333337</v>
      </c>
      <c r="C36" s="1">
        <f t="shared" ref="C36:M36" si="19">(C33*20+C34+C35)/3</f>
        <v>71.066666666666663</v>
      </c>
      <c r="D36" s="1">
        <f t="shared" si="19"/>
        <v>76.866666666666674</v>
      </c>
      <c r="E36" s="1">
        <f t="shared" si="19"/>
        <v>73.933333333333337</v>
      </c>
      <c r="F36" s="1">
        <f t="shared" si="19"/>
        <v>51.066666666666663</v>
      </c>
      <c r="G36" s="1">
        <f t="shared" si="19"/>
        <v>59.6</v>
      </c>
      <c r="H36" s="1">
        <f t="shared" si="19"/>
        <v>56.4</v>
      </c>
      <c r="I36" s="1">
        <f t="shared" si="19"/>
        <v>63.466666666666669</v>
      </c>
      <c r="J36" s="1">
        <f t="shared" si="19"/>
        <v>31.266666666666666</v>
      </c>
      <c r="K36" s="1">
        <f t="shared" si="19"/>
        <v>46.933333333333337</v>
      </c>
      <c r="L36" s="1">
        <f t="shared" si="19"/>
        <v>51.466666666666669</v>
      </c>
      <c r="M36" s="6">
        <f t="shared" si="19"/>
        <v>47.266666666666673</v>
      </c>
      <c r="O36" s="1">
        <f>AVERAGE(B36:L36)</f>
        <v>57.909090909090907</v>
      </c>
    </row>
    <row r="37" spans="1:18" ht="15" thickBot="1" x14ac:dyDescent="0.35">
      <c r="A37" s="14" t="s">
        <v>179</v>
      </c>
      <c r="B37" s="11">
        <f>B36/$O36</f>
        <v>0.94861329147043438</v>
      </c>
      <c r="C37" s="11">
        <f t="shared" ref="C37:M37" si="20">C36/$O36</f>
        <v>1.2272108843537415</v>
      </c>
      <c r="D37" s="11">
        <f t="shared" si="20"/>
        <v>1.3273678702250133</v>
      </c>
      <c r="E37" s="11">
        <f t="shared" si="20"/>
        <v>1.2767137624280482</v>
      </c>
      <c r="F37" s="11">
        <f t="shared" si="20"/>
        <v>0.88184196755625321</v>
      </c>
      <c r="G37" s="11">
        <f t="shared" si="20"/>
        <v>1.0291993720565149</v>
      </c>
      <c r="H37" s="11">
        <f t="shared" si="20"/>
        <v>0.97394034536891683</v>
      </c>
      <c r="I37" s="11">
        <f t="shared" si="20"/>
        <v>1.0959706959706961</v>
      </c>
      <c r="J37" s="11">
        <f t="shared" si="20"/>
        <v>0.5399267399267399</v>
      </c>
      <c r="K37" s="11">
        <f t="shared" si="20"/>
        <v>0.81046572475143919</v>
      </c>
      <c r="L37" s="11">
        <f t="shared" si="20"/>
        <v>0.88874934589220311</v>
      </c>
      <c r="M37" s="12">
        <f t="shared" si="20"/>
        <v>0.81622187336473062</v>
      </c>
    </row>
    <row r="38" spans="1:18" ht="15" thickBot="1" x14ac:dyDescent="0.35">
      <c r="A38" s="13" t="s">
        <v>66</v>
      </c>
      <c r="B38" s="9" t="s">
        <v>67</v>
      </c>
      <c r="C38" s="9" t="s">
        <v>68</v>
      </c>
      <c r="D38" s="9" t="s">
        <v>69</v>
      </c>
      <c r="E38" s="9" t="s">
        <v>70</v>
      </c>
      <c r="F38" s="9" t="s">
        <v>71</v>
      </c>
      <c r="G38" s="9" t="s">
        <v>72</v>
      </c>
      <c r="H38" s="9" t="s">
        <v>73</v>
      </c>
      <c r="I38" s="9" t="s">
        <v>74</v>
      </c>
      <c r="J38" s="9" t="s">
        <v>75</v>
      </c>
      <c r="K38" s="9" t="s">
        <v>76</v>
      </c>
      <c r="L38" s="9" t="s">
        <v>77</v>
      </c>
      <c r="M38" s="9" t="s">
        <v>78</v>
      </c>
      <c r="N38" s="9" t="s">
        <v>79</v>
      </c>
      <c r="O38" s="10" t="s">
        <v>80</v>
      </c>
    </row>
    <row r="39" spans="1:18" x14ac:dyDescent="0.3">
      <c r="A39" s="14" t="s">
        <v>10</v>
      </c>
      <c r="B39">
        <v>2.87</v>
      </c>
      <c r="C39">
        <v>2.5499999999999998</v>
      </c>
      <c r="D39">
        <v>3.32</v>
      </c>
      <c r="E39">
        <v>3.24</v>
      </c>
      <c r="F39">
        <v>3.51</v>
      </c>
      <c r="G39">
        <v>2.95</v>
      </c>
      <c r="H39">
        <v>2.39</v>
      </c>
      <c r="I39">
        <v>2.71</v>
      </c>
      <c r="J39">
        <v>1.88</v>
      </c>
      <c r="K39">
        <v>2.4300000000000002</v>
      </c>
      <c r="L39">
        <v>1.77</v>
      </c>
      <c r="M39">
        <v>1.94</v>
      </c>
      <c r="N39">
        <v>2.66</v>
      </c>
      <c r="O39" s="5">
        <v>2.3199999999999998</v>
      </c>
    </row>
    <row r="40" spans="1:18" x14ac:dyDescent="0.3">
      <c r="A40" s="14" t="s">
        <v>11</v>
      </c>
      <c r="B40">
        <v>68</v>
      </c>
      <c r="C40">
        <v>71</v>
      </c>
      <c r="D40">
        <v>76</v>
      </c>
      <c r="E40">
        <v>77</v>
      </c>
      <c r="F40">
        <v>76</v>
      </c>
      <c r="G40">
        <v>70</v>
      </c>
      <c r="H40">
        <v>67</v>
      </c>
      <c r="I40">
        <v>76</v>
      </c>
      <c r="J40">
        <v>63</v>
      </c>
      <c r="K40">
        <v>50</v>
      </c>
      <c r="L40">
        <v>56</v>
      </c>
      <c r="M40">
        <v>64</v>
      </c>
      <c r="N40">
        <v>61</v>
      </c>
      <c r="O40" s="5">
        <v>48</v>
      </c>
    </row>
    <row r="41" spans="1:18" x14ac:dyDescent="0.3">
      <c r="A41" s="14" t="s">
        <v>12</v>
      </c>
      <c r="B41">
        <v>59</v>
      </c>
      <c r="C41">
        <v>62</v>
      </c>
      <c r="D41">
        <v>77</v>
      </c>
      <c r="E41">
        <v>76</v>
      </c>
      <c r="F41">
        <v>79</v>
      </c>
      <c r="G41">
        <v>68</v>
      </c>
      <c r="H41">
        <v>59</v>
      </c>
      <c r="I41">
        <v>64</v>
      </c>
      <c r="J41">
        <v>45</v>
      </c>
      <c r="K41">
        <v>53</v>
      </c>
      <c r="L41">
        <v>41</v>
      </c>
      <c r="M41">
        <v>36</v>
      </c>
      <c r="N41">
        <v>60</v>
      </c>
      <c r="O41" s="5">
        <v>48</v>
      </c>
      <c r="R41" s="18" t="s">
        <v>180</v>
      </c>
    </row>
    <row r="42" spans="1:18" x14ac:dyDescent="0.3">
      <c r="A42" s="14" t="s">
        <v>13</v>
      </c>
      <c r="B42" s="1">
        <f>(B39*20+B40+B41)/3</f>
        <v>61.466666666666669</v>
      </c>
      <c r="C42" s="1">
        <f t="shared" ref="C42:O42" si="21">(C39*20+C40+C41)/3</f>
        <v>61.333333333333336</v>
      </c>
      <c r="D42" s="1">
        <f t="shared" si="21"/>
        <v>73.133333333333326</v>
      </c>
      <c r="E42" s="1">
        <f t="shared" si="21"/>
        <v>72.600000000000009</v>
      </c>
      <c r="F42" s="1">
        <f t="shared" si="21"/>
        <v>75.066666666666663</v>
      </c>
      <c r="G42" s="1">
        <f t="shared" si="21"/>
        <v>65.666666666666671</v>
      </c>
      <c r="H42" s="1">
        <f t="shared" si="21"/>
        <v>57.933333333333337</v>
      </c>
      <c r="I42" s="1">
        <f t="shared" si="21"/>
        <v>64.733333333333334</v>
      </c>
      <c r="J42" s="1">
        <f t="shared" si="21"/>
        <v>48.533333333333331</v>
      </c>
      <c r="K42" s="1">
        <f t="shared" si="21"/>
        <v>50.533333333333331</v>
      </c>
      <c r="L42" s="1">
        <f t="shared" si="21"/>
        <v>44.133333333333333</v>
      </c>
      <c r="M42" s="1">
        <f t="shared" si="21"/>
        <v>46.266666666666673</v>
      </c>
      <c r="N42" s="1">
        <f t="shared" si="21"/>
        <v>58.066666666666663</v>
      </c>
      <c r="O42" s="6">
        <f t="shared" si="21"/>
        <v>47.466666666666669</v>
      </c>
      <c r="R42" s="1">
        <f>AVERAGE(B42:O42)</f>
        <v>59.06666666666667</v>
      </c>
    </row>
    <row r="43" spans="1:18" ht="15" thickBot="1" x14ac:dyDescent="0.35">
      <c r="A43" s="14" t="s">
        <v>179</v>
      </c>
      <c r="B43" s="7">
        <f>B42/$R42</f>
        <v>1.0406320541760723</v>
      </c>
      <c r="C43" s="7">
        <f t="shared" ref="C43:O43" si="22">C42/$R42</f>
        <v>1.038374717832957</v>
      </c>
      <c r="D43" s="7">
        <f t="shared" si="22"/>
        <v>1.2381489841986455</v>
      </c>
      <c r="E43" s="7">
        <f t="shared" si="22"/>
        <v>1.2291196388261851</v>
      </c>
      <c r="F43" s="7">
        <f t="shared" si="22"/>
        <v>1.2708803611738149</v>
      </c>
      <c r="G43" s="7">
        <f t="shared" si="22"/>
        <v>1.1117381489841986</v>
      </c>
      <c r="H43" s="7">
        <f t="shared" si="22"/>
        <v>0.98081264108352151</v>
      </c>
      <c r="I43" s="7">
        <f t="shared" si="22"/>
        <v>1.0959367945823928</v>
      </c>
      <c r="J43" s="7">
        <f t="shared" si="22"/>
        <v>0.82167042889390507</v>
      </c>
      <c r="K43" s="7">
        <f t="shared" si="22"/>
        <v>0.85553047404063198</v>
      </c>
      <c r="L43" s="7">
        <f t="shared" si="22"/>
        <v>0.74717832957110608</v>
      </c>
      <c r="M43" s="7">
        <f t="shared" si="22"/>
        <v>0.7832957110609482</v>
      </c>
      <c r="N43" s="7">
        <f t="shared" si="22"/>
        <v>0.98306997742663649</v>
      </c>
      <c r="O43" s="8">
        <f t="shared" si="22"/>
        <v>0.80361173814898423</v>
      </c>
    </row>
    <row r="44" spans="1:18" ht="15" thickBot="1" x14ac:dyDescent="0.35">
      <c r="A44" s="13" t="s">
        <v>81</v>
      </c>
      <c r="B44" s="9" t="s">
        <v>82</v>
      </c>
      <c r="C44" s="9" t="s">
        <v>83</v>
      </c>
      <c r="D44" s="9" t="s">
        <v>84</v>
      </c>
      <c r="E44" s="9" t="s">
        <v>85</v>
      </c>
      <c r="F44" s="9" t="s">
        <v>86</v>
      </c>
      <c r="G44" s="9" t="s">
        <v>87</v>
      </c>
      <c r="H44" s="9" t="s">
        <v>88</v>
      </c>
      <c r="I44" s="9" t="s">
        <v>89</v>
      </c>
      <c r="J44" s="9" t="s">
        <v>90</v>
      </c>
      <c r="K44" s="9" t="s">
        <v>91</v>
      </c>
      <c r="L44" s="9" t="s">
        <v>92</v>
      </c>
      <c r="M44" s="9" t="s">
        <v>93</v>
      </c>
      <c r="N44" s="9" t="s">
        <v>94</v>
      </c>
      <c r="O44" s="10" t="s">
        <v>95</v>
      </c>
    </row>
    <row r="45" spans="1:18" x14ac:dyDescent="0.3">
      <c r="A45" s="14" t="s">
        <v>10</v>
      </c>
      <c r="B45">
        <v>4.1399999999999997</v>
      </c>
      <c r="C45">
        <v>4.05</v>
      </c>
      <c r="D45">
        <v>3.76</v>
      </c>
      <c r="E45">
        <v>3.6</v>
      </c>
      <c r="F45">
        <v>4.09</v>
      </c>
      <c r="G45">
        <v>3.11</v>
      </c>
      <c r="H45">
        <v>3.85</v>
      </c>
      <c r="I45">
        <v>3.82</v>
      </c>
      <c r="J45">
        <v>3.38</v>
      </c>
      <c r="K45">
        <v>2.35</v>
      </c>
      <c r="L45">
        <v>3.26</v>
      </c>
      <c r="M45">
        <v>1.67</v>
      </c>
      <c r="N45">
        <v>2.2799999999999998</v>
      </c>
      <c r="O45" s="5">
        <v>1.51</v>
      </c>
    </row>
    <row r="46" spans="1:18" x14ac:dyDescent="0.3">
      <c r="A46" s="14" t="s">
        <v>11</v>
      </c>
      <c r="B46">
        <v>81</v>
      </c>
      <c r="C46">
        <v>83</v>
      </c>
      <c r="D46">
        <v>76</v>
      </c>
      <c r="E46">
        <v>75</v>
      </c>
      <c r="F46">
        <v>91</v>
      </c>
      <c r="G46">
        <v>75</v>
      </c>
      <c r="H46">
        <v>83</v>
      </c>
      <c r="I46">
        <v>77</v>
      </c>
      <c r="J46">
        <v>64</v>
      </c>
      <c r="K46">
        <v>54</v>
      </c>
      <c r="L46">
        <v>59</v>
      </c>
      <c r="M46">
        <v>46</v>
      </c>
      <c r="N46">
        <v>43</v>
      </c>
      <c r="O46" s="5">
        <v>40</v>
      </c>
    </row>
    <row r="47" spans="1:18" x14ac:dyDescent="0.3">
      <c r="A47" s="14" t="s">
        <v>12</v>
      </c>
      <c r="B47">
        <v>90</v>
      </c>
      <c r="C47">
        <v>89</v>
      </c>
      <c r="D47">
        <v>85</v>
      </c>
      <c r="E47">
        <v>80</v>
      </c>
      <c r="F47">
        <v>89</v>
      </c>
      <c r="G47">
        <v>71</v>
      </c>
      <c r="H47">
        <v>84</v>
      </c>
      <c r="I47">
        <v>85</v>
      </c>
      <c r="J47">
        <v>78</v>
      </c>
      <c r="K47">
        <v>53</v>
      </c>
      <c r="L47">
        <v>72</v>
      </c>
      <c r="M47">
        <v>32</v>
      </c>
      <c r="N47">
        <v>47</v>
      </c>
      <c r="O47" s="5">
        <v>31</v>
      </c>
      <c r="R47" s="18" t="s">
        <v>180</v>
      </c>
    </row>
    <row r="48" spans="1:18" x14ac:dyDescent="0.3">
      <c r="A48" s="14" t="s">
        <v>13</v>
      </c>
      <c r="B48" s="1">
        <f>(B45*20+B46+B47)/3</f>
        <v>84.600000000000009</v>
      </c>
      <c r="C48" s="1">
        <f t="shared" ref="C48:O48" si="23">(C45*20+C46+C47)/3</f>
        <v>84.333333333333329</v>
      </c>
      <c r="D48" s="1">
        <f t="shared" si="23"/>
        <v>78.733333333333334</v>
      </c>
      <c r="E48" s="1">
        <f t="shared" si="23"/>
        <v>75.666666666666671</v>
      </c>
      <c r="F48" s="1">
        <f t="shared" si="23"/>
        <v>87.266666666666666</v>
      </c>
      <c r="G48" s="1">
        <f t="shared" si="23"/>
        <v>69.399999999999991</v>
      </c>
      <c r="H48" s="1">
        <f t="shared" si="23"/>
        <v>81.333333333333329</v>
      </c>
      <c r="I48" s="1">
        <f t="shared" si="23"/>
        <v>79.466666666666654</v>
      </c>
      <c r="J48" s="1">
        <f t="shared" si="23"/>
        <v>69.86666666666666</v>
      </c>
      <c r="K48" s="1">
        <f t="shared" si="23"/>
        <v>51.333333333333336</v>
      </c>
      <c r="L48" s="1">
        <f t="shared" si="23"/>
        <v>65.399999999999991</v>
      </c>
      <c r="M48" s="1">
        <f t="shared" si="23"/>
        <v>37.133333333333333</v>
      </c>
      <c r="N48" s="1">
        <f t="shared" si="23"/>
        <v>45.199999999999996</v>
      </c>
      <c r="O48" s="6">
        <f t="shared" si="23"/>
        <v>33.733333333333334</v>
      </c>
      <c r="R48" s="1">
        <f>AVERAGE(B48:O48)</f>
        <v>67.390476190476207</v>
      </c>
    </row>
    <row r="49" spans="1:18" ht="15" thickBot="1" x14ac:dyDescent="0.35">
      <c r="A49" s="14" t="s">
        <v>179</v>
      </c>
      <c r="B49" s="11">
        <f>B48/$R48</f>
        <v>1.2553702656868286</v>
      </c>
      <c r="C49" s="11">
        <f t="shared" ref="C49" si="24">C48/$R48</f>
        <v>1.2514132278123229</v>
      </c>
      <c r="D49" s="11">
        <f t="shared" ref="D49" si="25">D48/$R48</f>
        <v>1.1683154324477103</v>
      </c>
      <c r="E49" s="11">
        <f t="shared" ref="E49" si="26">E48/$R48</f>
        <v>1.1228094968908986</v>
      </c>
      <c r="F49" s="11">
        <f t="shared" ref="F49" si="27">F48/$R48</f>
        <v>1.2949406444318821</v>
      </c>
      <c r="G49" s="11">
        <f t="shared" ref="G49" si="28">G48/$R48</f>
        <v>1.0298191068400222</v>
      </c>
      <c r="H49" s="11">
        <f t="shared" ref="H49" si="29">H48/$R48</f>
        <v>1.2068965517241377</v>
      </c>
      <c r="I49" s="11">
        <f t="shared" ref="I49" si="30">I48/$R48</f>
        <v>1.1791972866025999</v>
      </c>
      <c r="J49" s="11">
        <f t="shared" ref="J49" si="31">J48/$R48</f>
        <v>1.0367439231204068</v>
      </c>
      <c r="K49" s="11">
        <f t="shared" ref="K49" si="32">K48/$R48</f>
        <v>0.76172979084228365</v>
      </c>
      <c r="L49" s="11">
        <f t="shared" ref="L49" si="33">L48/$R48</f>
        <v>0.97046353872244173</v>
      </c>
      <c r="M49" s="11">
        <f t="shared" ref="M49" si="34">M48/$R48</f>
        <v>0.5510175240248727</v>
      </c>
      <c r="N49" s="11">
        <f t="shared" ref="N49" si="35">N48/$R48</f>
        <v>0.67071791972866002</v>
      </c>
      <c r="O49" s="12">
        <f t="shared" ref="O49" si="36">O48/$R48</f>
        <v>0.5005652911249292</v>
      </c>
    </row>
    <row r="50" spans="1:18" ht="15" thickBot="1" x14ac:dyDescent="0.35">
      <c r="A50" s="13" t="s">
        <v>96</v>
      </c>
      <c r="B50" s="9" t="s">
        <v>97</v>
      </c>
      <c r="C50" s="9" t="s">
        <v>98</v>
      </c>
      <c r="D50" s="9" t="s">
        <v>99</v>
      </c>
      <c r="E50" s="9" t="s">
        <v>100</v>
      </c>
      <c r="F50" s="9" t="s">
        <v>101</v>
      </c>
      <c r="G50" s="9" t="s">
        <v>102</v>
      </c>
      <c r="H50" s="9" t="s">
        <v>103</v>
      </c>
      <c r="I50" s="9" t="s">
        <v>104</v>
      </c>
      <c r="J50" s="9" t="s">
        <v>105</v>
      </c>
      <c r="K50" s="9" t="s">
        <v>106</v>
      </c>
      <c r="L50" s="9" t="s">
        <v>107</v>
      </c>
      <c r="M50" s="9" t="s">
        <v>108</v>
      </c>
      <c r="N50" s="9" t="s">
        <v>109</v>
      </c>
      <c r="O50" s="9" t="s">
        <v>110</v>
      </c>
      <c r="P50" s="10" t="s">
        <v>111</v>
      </c>
    </row>
    <row r="51" spans="1:18" x14ac:dyDescent="0.3">
      <c r="A51" s="14" t="s">
        <v>10</v>
      </c>
      <c r="B51">
        <v>2.6</v>
      </c>
      <c r="C51">
        <v>2.56</v>
      </c>
      <c r="D51">
        <v>2.5</v>
      </c>
      <c r="E51">
        <v>3.19</v>
      </c>
      <c r="F51">
        <v>3.54</v>
      </c>
      <c r="G51">
        <v>2.8</v>
      </c>
      <c r="H51">
        <v>3.36</v>
      </c>
      <c r="I51">
        <v>1.32</v>
      </c>
      <c r="J51">
        <v>2.11</v>
      </c>
      <c r="K51">
        <v>2.82</v>
      </c>
      <c r="L51">
        <v>1.9</v>
      </c>
      <c r="M51">
        <v>2.5299999999999998</v>
      </c>
      <c r="N51">
        <v>3.07</v>
      </c>
      <c r="O51">
        <v>2.3199999999999998</v>
      </c>
      <c r="P51" s="5">
        <v>2.89</v>
      </c>
    </row>
    <row r="52" spans="1:18" x14ac:dyDescent="0.3">
      <c r="A52" s="14" t="s">
        <v>11</v>
      </c>
      <c r="B52">
        <v>60</v>
      </c>
      <c r="C52">
        <v>65</v>
      </c>
      <c r="D52">
        <v>70</v>
      </c>
      <c r="E52">
        <v>63</v>
      </c>
      <c r="F52">
        <v>80</v>
      </c>
      <c r="G52">
        <v>67</v>
      </c>
      <c r="H52">
        <v>80</v>
      </c>
      <c r="I52">
        <v>34</v>
      </c>
      <c r="J52">
        <v>67</v>
      </c>
      <c r="K52">
        <v>58</v>
      </c>
      <c r="L52">
        <v>46</v>
      </c>
      <c r="M52">
        <v>54</v>
      </c>
      <c r="N52">
        <v>71</v>
      </c>
      <c r="O52">
        <v>60</v>
      </c>
      <c r="P52" s="5">
        <v>60</v>
      </c>
    </row>
    <row r="53" spans="1:18" x14ac:dyDescent="0.3">
      <c r="A53" s="14" t="s">
        <v>12</v>
      </c>
      <c r="B53">
        <v>54</v>
      </c>
      <c r="C53">
        <v>55</v>
      </c>
      <c r="D53">
        <v>53</v>
      </c>
      <c r="E53">
        <v>70</v>
      </c>
      <c r="F53">
        <v>81</v>
      </c>
      <c r="G53">
        <v>56</v>
      </c>
      <c r="H53">
        <v>79</v>
      </c>
      <c r="I53">
        <v>24</v>
      </c>
      <c r="J53">
        <v>49</v>
      </c>
      <c r="K53">
        <v>69</v>
      </c>
      <c r="L53">
        <v>41</v>
      </c>
      <c r="M53">
        <v>56</v>
      </c>
      <c r="N53">
        <v>69</v>
      </c>
      <c r="O53">
        <v>49</v>
      </c>
      <c r="P53" s="5">
        <v>62</v>
      </c>
      <c r="R53" s="18" t="s">
        <v>180</v>
      </c>
    </row>
    <row r="54" spans="1:18" x14ac:dyDescent="0.3">
      <c r="A54" s="14" t="s">
        <v>13</v>
      </c>
      <c r="B54" s="1">
        <f>(B51*20+B52+B53)/3</f>
        <v>55.333333333333336</v>
      </c>
      <c r="C54" s="1">
        <f t="shared" ref="C54:P54" si="37">(C51*20+C52+C53)/3</f>
        <v>57.066666666666663</v>
      </c>
      <c r="D54" s="1">
        <f t="shared" si="37"/>
        <v>57.666666666666664</v>
      </c>
      <c r="E54" s="1">
        <f t="shared" si="37"/>
        <v>65.600000000000009</v>
      </c>
      <c r="F54" s="1">
        <f t="shared" si="37"/>
        <v>77.266666666666666</v>
      </c>
      <c r="G54" s="1">
        <f t="shared" si="37"/>
        <v>59.666666666666664</v>
      </c>
      <c r="H54" s="1">
        <f t="shared" si="37"/>
        <v>75.399999999999991</v>
      </c>
      <c r="I54" s="1">
        <f t="shared" si="37"/>
        <v>28.133333333333336</v>
      </c>
      <c r="J54" s="1">
        <f t="shared" si="37"/>
        <v>52.733333333333327</v>
      </c>
      <c r="K54" s="1">
        <f t="shared" si="37"/>
        <v>61.133333333333333</v>
      </c>
      <c r="L54" s="1">
        <f t="shared" si="37"/>
        <v>41.666666666666664</v>
      </c>
      <c r="M54" s="1">
        <f t="shared" si="37"/>
        <v>53.533333333333331</v>
      </c>
      <c r="N54" s="1">
        <f t="shared" si="37"/>
        <v>67.13333333333334</v>
      </c>
      <c r="O54" s="1">
        <f t="shared" si="37"/>
        <v>51.800000000000004</v>
      </c>
      <c r="P54" s="6">
        <f t="shared" si="37"/>
        <v>59.933333333333337</v>
      </c>
      <c r="R54" s="1">
        <f>AVERAGE(B54:P54)</f>
        <v>57.604444444444439</v>
      </c>
    </row>
    <row r="55" spans="1:18" ht="15" thickBot="1" x14ac:dyDescent="0.35">
      <c r="A55" s="14" t="s">
        <v>179</v>
      </c>
      <c r="B55" s="7">
        <f>B54/$R54</f>
        <v>0.96057402978165274</v>
      </c>
      <c r="C55" s="7">
        <f t="shared" ref="C55" si="38">C54/$R54</f>
        <v>0.99066430059408994</v>
      </c>
      <c r="D55" s="7">
        <f t="shared" ref="D55" si="39">D54/$R54</f>
        <v>1.0010801635676261</v>
      </c>
      <c r="E55" s="7">
        <f t="shared" ref="E55" si="40">E54/$R54</f>
        <v>1.1388010184399355</v>
      </c>
      <c r="F55" s="7">
        <f t="shared" ref="F55" si="41">F54/$R54</f>
        <v>1.3413316873698018</v>
      </c>
      <c r="G55" s="7">
        <f t="shared" ref="G55" si="42">G54/$R54</f>
        <v>1.035799706812746</v>
      </c>
      <c r="H55" s="7">
        <f t="shared" ref="H55" si="43">H54/$R54</f>
        <v>1.3089267803410229</v>
      </c>
      <c r="I55" s="7">
        <f t="shared" ref="I55" si="44">I54/$R54</f>
        <v>0.48838824164802108</v>
      </c>
      <c r="J55" s="7">
        <f t="shared" ref="J55" si="45">J54/$R54</f>
        <v>0.91543862356299666</v>
      </c>
      <c r="K55" s="7">
        <f t="shared" ref="K55" si="46">K54/$R54</f>
        <v>1.0612607051925007</v>
      </c>
      <c r="L55" s="7">
        <f t="shared" ref="L55" si="47">L54/$R54</f>
        <v>0.7233238176066662</v>
      </c>
      <c r="M55" s="7">
        <f t="shared" ref="M55" si="48">M54/$R54</f>
        <v>0.92932644086104477</v>
      </c>
      <c r="N55" s="7">
        <f t="shared" ref="N55" si="49">N54/$R54</f>
        <v>1.1654193349278608</v>
      </c>
      <c r="O55" s="7">
        <f t="shared" ref="O55" si="50">O54/$R54</f>
        <v>0.89923617004860756</v>
      </c>
      <c r="P55" s="8">
        <f>P54/$R54</f>
        <v>1.0404289792454287</v>
      </c>
    </row>
    <row r="56" spans="1:18" ht="15" thickBot="1" x14ac:dyDescent="0.35">
      <c r="A56" s="13" t="s">
        <v>112</v>
      </c>
      <c r="B56" s="9" t="s">
        <v>116</v>
      </c>
      <c r="C56" s="9" t="s">
        <v>113</v>
      </c>
      <c r="D56" s="9" t="s">
        <v>114</v>
      </c>
      <c r="E56" s="9" t="s">
        <v>115</v>
      </c>
      <c r="F56" s="9" t="s">
        <v>117</v>
      </c>
      <c r="G56" s="9" t="s">
        <v>118</v>
      </c>
      <c r="H56" s="9" t="s">
        <v>119</v>
      </c>
      <c r="I56" s="9" t="s">
        <v>120</v>
      </c>
      <c r="J56" s="9" t="s">
        <v>121</v>
      </c>
      <c r="K56" s="10" t="s">
        <v>122</v>
      </c>
    </row>
    <row r="57" spans="1:18" x14ac:dyDescent="0.3">
      <c r="A57" s="14" t="s">
        <v>10</v>
      </c>
      <c r="B57">
        <v>2.2599999999999998</v>
      </c>
      <c r="C57">
        <v>3.1</v>
      </c>
      <c r="D57">
        <v>3.33</v>
      </c>
      <c r="E57">
        <v>3.04</v>
      </c>
      <c r="F57">
        <v>3.14</v>
      </c>
      <c r="G57">
        <v>2.76</v>
      </c>
      <c r="H57">
        <v>3.08</v>
      </c>
      <c r="I57">
        <v>2.1800000000000002</v>
      </c>
      <c r="J57">
        <v>2.59</v>
      </c>
      <c r="K57" s="5">
        <v>1.64</v>
      </c>
    </row>
    <row r="58" spans="1:18" x14ac:dyDescent="0.3">
      <c r="A58" s="14" t="s">
        <v>11</v>
      </c>
      <c r="B58">
        <v>40</v>
      </c>
      <c r="C58">
        <v>66</v>
      </c>
      <c r="D58">
        <v>68</v>
      </c>
      <c r="E58">
        <v>55</v>
      </c>
      <c r="F58">
        <v>69</v>
      </c>
      <c r="G58">
        <v>78</v>
      </c>
      <c r="H58">
        <v>60</v>
      </c>
      <c r="I58">
        <v>61</v>
      </c>
      <c r="J58">
        <v>65</v>
      </c>
      <c r="K58" s="5">
        <v>41</v>
      </c>
    </row>
    <row r="59" spans="1:18" x14ac:dyDescent="0.3">
      <c r="A59" s="14" t="s">
        <v>12</v>
      </c>
      <c r="B59">
        <v>40</v>
      </c>
      <c r="C59">
        <v>66</v>
      </c>
      <c r="D59">
        <v>73</v>
      </c>
      <c r="E59">
        <v>68</v>
      </c>
      <c r="F59">
        <v>71</v>
      </c>
      <c r="G59">
        <v>65</v>
      </c>
      <c r="H59">
        <v>66</v>
      </c>
      <c r="I59">
        <v>47</v>
      </c>
      <c r="J59">
        <v>59</v>
      </c>
      <c r="K59" s="5">
        <v>33</v>
      </c>
      <c r="L59" s="18" t="s">
        <v>180</v>
      </c>
    </row>
    <row r="60" spans="1:18" x14ac:dyDescent="0.3">
      <c r="A60" s="14" t="s">
        <v>13</v>
      </c>
      <c r="B60" s="1">
        <f>(B57*20+B58+B59)/3</f>
        <v>41.733333333333327</v>
      </c>
      <c r="C60" s="1">
        <f t="shared" ref="C60:K60" si="51">(C57*20+C58+C59)/3</f>
        <v>64.666666666666671</v>
      </c>
      <c r="D60" s="1">
        <f t="shared" si="51"/>
        <v>69.2</v>
      </c>
      <c r="E60" s="1">
        <f t="shared" si="51"/>
        <v>61.266666666666673</v>
      </c>
      <c r="F60" s="1">
        <f t="shared" si="51"/>
        <v>67.600000000000009</v>
      </c>
      <c r="G60" s="1">
        <f t="shared" si="51"/>
        <v>66.066666666666663</v>
      </c>
      <c r="H60" s="1">
        <f t="shared" si="51"/>
        <v>62.533333333333331</v>
      </c>
      <c r="I60" s="1">
        <f t="shared" si="51"/>
        <v>50.533333333333331</v>
      </c>
      <c r="J60" s="1">
        <f t="shared" si="51"/>
        <v>58.6</v>
      </c>
      <c r="K60" s="6">
        <f t="shared" si="51"/>
        <v>35.6</v>
      </c>
      <c r="L60" s="1">
        <f>AVERAGE(B60:K60)</f>
        <v>57.780000000000008</v>
      </c>
    </row>
    <row r="61" spans="1:18" ht="15" thickBot="1" x14ac:dyDescent="0.35">
      <c r="A61" s="14" t="s">
        <v>179</v>
      </c>
      <c r="B61" s="7">
        <f>B60/$L60</f>
        <v>0.7222799123110647</v>
      </c>
      <c r="C61" s="7">
        <f t="shared" ref="C61:K61" si="52">C60/$L60</f>
        <v>1.1191877235490941</v>
      </c>
      <c r="D61" s="7">
        <f t="shared" si="52"/>
        <v>1.1976462443752163</v>
      </c>
      <c r="E61" s="7">
        <f t="shared" si="52"/>
        <v>1.0603438329295027</v>
      </c>
      <c r="F61" s="7">
        <f t="shared" si="52"/>
        <v>1.1699550017307025</v>
      </c>
      <c r="G61" s="7">
        <f t="shared" si="52"/>
        <v>1.1434175608630435</v>
      </c>
      <c r="H61" s="7">
        <f t="shared" si="52"/>
        <v>1.0822660666897426</v>
      </c>
      <c r="I61" s="7">
        <f t="shared" si="52"/>
        <v>0.87458174685588996</v>
      </c>
      <c r="J61" s="7">
        <f t="shared" si="52"/>
        <v>1.0141917618553131</v>
      </c>
      <c r="K61" s="8">
        <f t="shared" si="52"/>
        <v>0.61613014884042916</v>
      </c>
    </row>
    <row r="62" spans="1:18" ht="15" thickBot="1" x14ac:dyDescent="0.35">
      <c r="A62" s="13" t="s">
        <v>123</v>
      </c>
      <c r="B62" s="9" t="s">
        <v>126</v>
      </c>
      <c r="C62" s="9" t="s">
        <v>125</v>
      </c>
      <c r="D62" s="9" t="s">
        <v>124</v>
      </c>
      <c r="E62" s="9" t="s">
        <v>127</v>
      </c>
      <c r="F62" s="9" t="s">
        <v>128</v>
      </c>
      <c r="G62" s="9" t="s">
        <v>129</v>
      </c>
      <c r="H62" s="9" t="s">
        <v>130</v>
      </c>
      <c r="I62" s="9" t="s">
        <v>79</v>
      </c>
      <c r="J62" s="10" t="s">
        <v>131</v>
      </c>
    </row>
    <row r="63" spans="1:18" x14ac:dyDescent="0.3">
      <c r="A63" s="14" t="s">
        <v>10</v>
      </c>
      <c r="B63">
        <v>2.65</v>
      </c>
      <c r="C63">
        <v>2.4700000000000002</v>
      </c>
      <c r="D63">
        <v>2.93</v>
      </c>
      <c r="E63">
        <v>2.2400000000000002</v>
      </c>
      <c r="F63">
        <v>3.42</v>
      </c>
      <c r="G63">
        <v>3.2</v>
      </c>
      <c r="H63">
        <v>3.46</v>
      </c>
      <c r="I63">
        <v>2.66</v>
      </c>
      <c r="J63" s="5">
        <v>2.86</v>
      </c>
    </row>
    <row r="64" spans="1:18" x14ac:dyDescent="0.3">
      <c r="A64" s="14" t="s">
        <v>11</v>
      </c>
      <c r="B64">
        <v>40</v>
      </c>
      <c r="C64">
        <v>42</v>
      </c>
      <c r="D64">
        <v>71</v>
      </c>
      <c r="E64">
        <v>64</v>
      </c>
      <c r="F64">
        <v>75</v>
      </c>
      <c r="G64">
        <v>79</v>
      </c>
      <c r="H64">
        <v>78</v>
      </c>
      <c r="I64">
        <v>61</v>
      </c>
      <c r="J64" s="5">
        <v>70</v>
      </c>
    </row>
    <row r="65" spans="1:18" x14ac:dyDescent="0.3">
      <c r="A65" s="14" t="s">
        <v>12</v>
      </c>
      <c r="B65">
        <v>40</v>
      </c>
      <c r="C65">
        <v>42</v>
      </c>
      <c r="D65">
        <v>60</v>
      </c>
      <c r="E65">
        <v>49</v>
      </c>
      <c r="F65">
        <v>75</v>
      </c>
      <c r="G65">
        <v>74</v>
      </c>
      <c r="H65">
        <v>77</v>
      </c>
      <c r="I65">
        <v>60</v>
      </c>
      <c r="J65" s="5">
        <v>66</v>
      </c>
      <c r="L65" s="18" t="s">
        <v>180</v>
      </c>
    </row>
    <row r="66" spans="1:18" x14ac:dyDescent="0.3">
      <c r="A66" s="14" t="s">
        <v>13</v>
      </c>
      <c r="B66" s="1">
        <f>(B63*20+B64+B65)/3</f>
        <v>44.333333333333336</v>
      </c>
      <c r="C66" s="1">
        <f t="shared" ref="C66:J66" si="53">(C63*20+C64+C65)/3</f>
        <v>44.466666666666669</v>
      </c>
      <c r="D66" s="1">
        <f t="shared" si="53"/>
        <v>63.199999999999996</v>
      </c>
      <c r="E66" s="1">
        <f t="shared" si="53"/>
        <v>52.6</v>
      </c>
      <c r="F66" s="1">
        <f t="shared" si="53"/>
        <v>72.8</v>
      </c>
      <c r="G66" s="1">
        <f t="shared" si="53"/>
        <v>72.333333333333329</v>
      </c>
      <c r="H66" s="1">
        <f t="shared" si="53"/>
        <v>74.733333333333334</v>
      </c>
      <c r="I66" s="1">
        <f t="shared" si="53"/>
        <v>58.066666666666663</v>
      </c>
      <c r="J66" s="6">
        <f t="shared" si="53"/>
        <v>64.399999999999991</v>
      </c>
      <c r="L66" s="1">
        <f>AVERAGE(B66:J66)</f>
        <v>60.770370370370365</v>
      </c>
    </row>
    <row r="67" spans="1:18" ht="15" thickBot="1" x14ac:dyDescent="0.35">
      <c r="A67" s="14" t="s">
        <v>179</v>
      </c>
      <c r="B67" s="11">
        <f>B66/$L66</f>
        <v>0.72952218430034144</v>
      </c>
      <c r="C67" s="11">
        <f t="shared" ref="C67" si="54">C66/$L66</f>
        <v>0.73171623598244773</v>
      </c>
      <c r="D67" s="11">
        <f t="shared" ref="D67" si="55">D66/$L66</f>
        <v>1.0399804973183813</v>
      </c>
      <c r="E67" s="11">
        <f t="shared" ref="E67" si="56">E66/$L66</f>
        <v>0.86555338859093134</v>
      </c>
      <c r="F67" s="11">
        <f t="shared" ref="F67" si="57">F66/$L66</f>
        <v>1.1979522184300342</v>
      </c>
      <c r="G67" s="11">
        <f t="shared" ref="G67" si="58">G66/$L66</f>
        <v>1.1902730375426622</v>
      </c>
      <c r="H67" s="11">
        <f t="shared" ref="H67" si="59">H66/$L66</f>
        <v>1.2297659678205755</v>
      </c>
      <c r="I67" s="11">
        <f t="shared" ref="I67" si="60">I66/$L66</f>
        <v>0.95550950755728914</v>
      </c>
      <c r="J67" s="12">
        <f t="shared" ref="J67" si="61">J66/$L66</f>
        <v>1.0597269624573378</v>
      </c>
      <c r="K67" s="4"/>
    </row>
    <row r="68" spans="1:18" ht="15" thickBot="1" x14ac:dyDescent="0.35">
      <c r="A68" s="13" t="s">
        <v>132</v>
      </c>
      <c r="B68" s="9" t="s">
        <v>133</v>
      </c>
      <c r="C68" s="9" t="s">
        <v>134</v>
      </c>
      <c r="D68" s="9" t="s">
        <v>135</v>
      </c>
      <c r="E68" s="9" t="s">
        <v>136</v>
      </c>
      <c r="F68" s="9" t="s">
        <v>137</v>
      </c>
      <c r="G68" s="9" t="s">
        <v>138</v>
      </c>
      <c r="H68" s="9" t="s">
        <v>139</v>
      </c>
      <c r="I68" s="9" t="s">
        <v>140</v>
      </c>
      <c r="J68" s="9">
        <v>333</v>
      </c>
      <c r="K68" s="9" t="s">
        <v>141</v>
      </c>
      <c r="L68" s="9" t="s">
        <v>142</v>
      </c>
      <c r="M68" s="9" t="s">
        <v>143</v>
      </c>
      <c r="N68" s="9" t="s">
        <v>144</v>
      </c>
      <c r="O68" s="9" t="s">
        <v>23</v>
      </c>
      <c r="P68" s="10" t="s">
        <v>145</v>
      </c>
    </row>
    <row r="69" spans="1:18" x14ac:dyDescent="0.3">
      <c r="A69" s="14" t="s">
        <v>10</v>
      </c>
      <c r="B69">
        <v>3.7</v>
      </c>
      <c r="C69">
        <v>3.65</v>
      </c>
      <c r="D69">
        <v>3.22</v>
      </c>
      <c r="E69">
        <v>3.61</v>
      </c>
      <c r="F69">
        <v>3.36</v>
      </c>
      <c r="G69">
        <v>3.77</v>
      </c>
      <c r="H69">
        <v>3.43</v>
      </c>
      <c r="I69">
        <v>3.46</v>
      </c>
      <c r="J69">
        <v>3.53</v>
      </c>
      <c r="K69">
        <v>2.76</v>
      </c>
      <c r="L69">
        <v>3.55</v>
      </c>
      <c r="M69">
        <v>3.59</v>
      </c>
      <c r="N69">
        <v>3.27</v>
      </c>
      <c r="O69">
        <v>3.23</v>
      </c>
      <c r="P69" s="5">
        <v>3.64</v>
      </c>
    </row>
    <row r="70" spans="1:18" x14ac:dyDescent="0.3">
      <c r="A70" s="14" t="s">
        <v>11</v>
      </c>
      <c r="B70">
        <v>77</v>
      </c>
      <c r="C70">
        <v>78</v>
      </c>
      <c r="D70">
        <v>64</v>
      </c>
      <c r="E70">
        <v>76</v>
      </c>
      <c r="F70">
        <v>55</v>
      </c>
      <c r="G70">
        <v>78</v>
      </c>
      <c r="H70">
        <v>74</v>
      </c>
      <c r="I70">
        <v>61</v>
      </c>
      <c r="J70">
        <v>60</v>
      </c>
      <c r="K70">
        <v>57</v>
      </c>
      <c r="L70">
        <v>69</v>
      </c>
      <c r="M70">
        <v>80</v>
      </c>
      <c r="N70">
        <v>76</v>
      </c>
      <c r="O70">
        <v>65</v>
      </c>
      <c r="P70" s="5">
        <v>67</v>
      </c>
    </row>
    <row r="71" spans="1:18" x14ac:dyDescent="0.3">
      <c r="A71" s="14" t="s">
        <v>12</v>
      </c>
      <c r="B71">
        <v>77</v>
      </c>
      <c r="C71">
        <v>78</v>
      </c>
      <c r="D71">
        <v>64</v>
      </c>
      <c r="E71">
        <v>76</v>
      </c>
      <c r="F71">
        <v>65</v>
      </c>
      <c r="G71">
        <v>78</v>
      </c>
      <c r="H71">
        <v>74</v>
      </c>
      <c r="I71">
        <v>69</v>
      </c>
      <c r="J71">
        <v>75</v>
      </c>
      <c r="K71">
        <v>57</v>
      </c>
      <c r="L71">
        <v>75</v>
      </c>
      <c r="M71">
        <v>78</v>
      </c>
      <c r="N71">
        <v>71</v>
      </c>
      <c r="O71">
        <v>70</v>
      </c>
      <c r="P71" s="5">
        <v>75</v>
      </c>
      <c r="R71" s="18" t="s">
        <v>180</v>
      </c>
    </row>
    <row r="72" spans="1:18" x14ac:dyDescent="0.3">
      <c r="A72" s="14" t="s">
        <v>13</v>
      </c>
      <c r="B72" s="1">
        <f>(B69*20+B70+B71)/3</f>
        <v>76</v>
      </c>
      <c r="C72" s="1">
        <f t="shared" ref="C72:P72" si="62">(C69*20+C70+C71)/3</f>
        <v>76.333333333333329</v>
      </c>
      <c r="D72" s="1">
        <f t="shared" si="62"/>
        <v>64.13333333333334</v>
      </c>
      <c r="E72" s="1">
        <f t="shared" si="62"/>
        <v>74.733333333333334</v>
      </c>
      <c r="F72" s="1">
        <f t="shared" si="62"/>
        <v>62.4</v>
      </c>
      <c r="G72" s="1">
        <f t="shared" si="62"/>
        <v>77.13333333333334</v>
      </c>
      <c r="H72" s="1">
        <f t="shared" si="62"/>
        <v>72.2</v>
      </c>
      <c r="I72" s="1">
        <f t="shared" si="62"/>
        <v>66.399999999999991</v>
      </c>
      <c r="J72" s="1">
        <f t="shared" si="62"/>
        <v>68.533333333333331</v>
      </c>
      <c r="K72" s="1">
        <f t="shared" si="62"/>
        <v>56.4</v>
      </c>
      <c r="L72" s="1">
        <f t="shared" si="62"/>
        <v>71.666666666666671</v>
      </c>
      <c r="M72" s="1">
        <f t="shared" si="62"/>
        <v>76.600000000000009</v>
      </c>
      <c r="N72" s="1">
        <f t="shared" si="62"/>
        <v>70.8</v>
      </c>
      <c r="O72" s="1">
        <f t="shared" si="62"/>
        <v>66.533333333333331</v>
      </c>
      <c r="P72" s="6">
        <f t="shared" si="62"/>
        <v>71.600000000000009</v>
      </c>
      <c r="R72" s="1">
        <f>AVERAGE(B72:P72)</f>
        <v>70.097777777777765</v>
      </c>
    </row>
    <row r="73" spans="1:18" ht="15" thickBot="1" x14ac:dyDescent="0.35">
      <c r="A73" s="14" t="s">
        <v>179</v>
      </c>
      <c r="B73" s="7">
        <f>B72/$R72</f>
        <v>1.0841998478316006</v>
      </c>
      <c r="C73" s="7">
        <f t="shared" ref="C73" si="63">C72/$R72</f>
        <v>1.08895511032209</v>
      </c>
      <c r="D73" s="7">
        <f t="shared" ref="D73" si="64">D72/$R72</f>
        <v>0.91491250317017525</v>
      </c>
      <c r="E73" s="7">
        <f t="shared" ref="E73" si="65">E72/$R72</f>
        <v>1.0661298503677406</v>
      </c>
      <c r="F73" s="7">
        <f t="shared" ref="F73" si="66">F72/$R72</f>
        <v>0.89018513821962986</v>
      </c>
      <c r="G73" s="7">
        <f t="shared" ref="G73" si="67">G72/$R72</f>
        <v>1.1003677402992649</v>
      </c>
      <c r="H73" s="7">
        <f t="shared" ref="H73" si="68">H72/$R72</f>
        <v>1.0299898554400204</v>
      </c>
      <c r="I73" s="7">
        <f t="shared" ref="I73" si="69">I72/$R72</f>
        <v>0.94724828810550343</v>
      </c>
      <c r="J73" s="7">
        <f t="shared" ref="J73" si="70">J72/$R72</f>
        <v>0.97768196804463625</v>
      </c>
      <c r="K73" s="7">
        <f t="shared" ref="K73" si="71">K72/$R72</f>
        <v>0.80459041339081927</v>
      </c>
      <c r="L73" s="7">
        <f t="shared" ref="L73" si="72">L72/$R72</f>
        <v>1.0223814354552374</v>
      </c>
      <c r="M73" s="7">
        <f t="shared" ref="M73" si="73">M72/$R72</f>
        <v>1.0927593203144816</v>
      </c>
      <c r="N73" s="7">
        <f t="shared" ref="N73" si="74">N72/$R72</f>
        <v>1.0100177529799645</v>
      </c>
      <c r="O73" s="7">
        <f t="shared" ref="O73" si="75">O72/$R72</f>
        <v>0.94915039310169935</v>
      </c>
      <c r="P73" s="8">
        <f>P72/$R72</f>
        <v>1.0214303829571396</v>
      </c>
    </row>
    <row r="74" spans="1:18" ht="15" thickBot="1" x14ac:dyDescent="0.35">
      <c r="A74" s="13" t="s">
        <v>146</v>
      </c>
      <c r="B74" s="9" t="s">
        <v>147</v>
      </c>
      <c r="C74" s="9" t="s">
        <v>148</v>
      </c>
      <c r="D74" s="9" t="s">
        <v>149</v>
      </c>
      <c r="E74" s="9" t="s">
        <v>150</v>
      </c>
      <c r="F74" s="9" t="s">
        <v>151</v>
      </c>
      <c r="G74" s="9" t="s">
        <v>152</v>
      </c>
      <c r="H74" s="9" t="s">
        <v>153</v>
      </c>
      <c r="I74" s="9" t="s">
        <v>154</v>
      </c>
      <c r="J74" s="10" t="s">
        <v>155</v>
      </c>
    </row>
    <row r="75" spans="1:18" x14ac:dyDescent="0.3">
      <c r="A75" s="14" t="s">
        <v>10</v>
      </c>
      <c r="B75">
        <v>2.97</v>
      </c>
      <c r="C75">
        <v>2.5299999999999998</v>
      </c>
      <c r="D75">
        <v>1.56</v>
      </c>
      <c r="E75">
        <v>2.37</v>
      </c>
      <c r="F75">
        <v>2.0499999999999998</v>
      </c>
      <c r="G75">
        <v>2.4500000000000002</v>
      </c>
      <c r="H75">
        <v>2.72</v>
      </c>
      <c r="I75">
        <v>3.52</v>
      </c>
      <c r="J75" s="5">
        <v>3.06</v>
      </c>
    </row>
    <row r="76" spans="1:18" x14ac:dyDescent="0.3">
      <c r="A76" s="14" t="s">
        <v>11</v>
      </c>
      <c r="B76">
        <v>62</v>
      </c>
      <c r="C76">
        <v>56</v>
      </c>
      <c r="D76">
        <v>58</v>
      </c>
      <c r="E76">
        <v>51</v>
      </c>
      <c r="F76">
        <v>48</v>
      </c>
      <c r="G76">
        <v>49</v>
      </c>
      <c r="H76">
        <v>59</v>
      </c>
      <c r="I76">
        <v>76</v>
      </c>
      <c r="J76" s="5">
        <v>69</v>
      </c>
    </row>
    <row r="77" spans="1:18" x14ac:dyDescent="0.3">
      <c r="A77" s="14" t="s">
        <v>12</v>
      </c>
      <c r="B77">
        <v>64</v>
      </c>
      <c r="C77">
        <v>55</v>
      </c>
      <c r="D77">
        <v>34</v>
      </c>
      <c r="E77">
        <v>55</v>
      </c>
      <c r="F77">
        <v>48</v>
      </c>
      <c r="G77">
        <v>52</v>
      </c>
      <c r="H77">
        <v>49</v>
      </c>
      <c r="I77">
        <v>80</v>
      </c>
      <c r="J77" s="5">
        <v>73</v>
      </c>
      <c r="L77" s="18" t="s">
        <v>180</v>
      </c>
    </row>
    <row r="78" spans="1:18" x14ac:dyDescent="0.3">
      <c r="A78" s="14" t="s">
        <v>13</v>
      </c>
      <c r="B78" s="1">
        <f>(B75*20+B76+B77)/3</f>
        <v>61.800000000000004</v>
      </c>
      <c r="C78" s="1">
        <f t="shared" ref="C78:J78" si="76">(C75*20+C76+C77)/3</f>
        <v>53.866666666666667</v>
      </c>
      <c r="D78" s="1">
        <f t="shared" si="76"/>
        <v>41.06666666666667</v>
      </c>
      <c r="E78" s="1">
        <f t="shared" si="76"/>
        <v>51.133333333333333</v>
      </c>
      <c r="F78" s="1">
        <f t="shared" si="76"/>
        <v>45.666666666666664</v>
      </c>
      <c r="G78" s="1">
        <f t="shared" si="76"/>
        <v>50</v>
      </c>
      <c r="H78" s="1">
        <f t="shared" si="76"/>
        <v>54.133333333333333</v>
      </c>
      <c r="I78" s="1">
        <f t="shared" si="76"/>
        <v>75.466666666666669</v>
      </c>
      <c r="J78" s="6">
        <f t="shared" si="76"/>
        <v>67.733333333333334</v>
      </c>
      <c r="L78" s="1">
        <f>AVERAGE(B78:J78)</f>
        <v>55.651851851851852</v>
      </c>
    </row>
    <row r="79" spans="1:18" ht="15" thickBot="1" x14ac:dyDescent="0.35">
      <c r="A79" s="14" t="s">
        <v>179</v>
      </c>
      <c r="B79" s="7">
        <f>B78/$L78</f>
        <v>1.1104751763609744</v>
      </c>
      <c r="C79" s="7">
        <f t="shared" ref="C79" si="77">C78/$L78</f>
        <v>0.96792226806868098</v>
      </c>
      <c r="D79" s="7">
        <f t="shared" ref="D79" si="78">D78/$L78</f>
        <v>0.73792093704245976</v>
      </c>
      <c r="E79" s="7">
        <f t="shared" ref="E79" si="79">E78/$L78</f>
        <v>0.91880740050578991</v>
      </c>
      <c r="F79" s="7">
        <f t="shared" ref="F79" si="80">F78/$L78</f>
        <v>0.82057766538000798</v>
      </c>
      <c r="G79" s="7">
        <f t="shared" ref="G79" si="81">G78/$L78</f>
        <v>0.8984426993211766</v>
      </c>
      <c r="H79" s="7">
        <f t="shared" ref="H79" si="82">H78/$L78</f>
        <v>0.97271396246506059</v>
      </c>
      <c r="I79" s="7">
        <f t="shared" ref="I79" si="83">I78/$L78</f>
        <v>1.3560495141754292</v>
      </c>
      <c r="J79" s="8">
        <f t="shared" ref="J79" si="84">J78/$L78</f>
        <v>1.2170903766804206</v>
      </c>
    </row>
    <row r="80" spans="1:18" ht="15" thickBot="1" x14ac:dyDescent="0.35">
      <c r="A80" s="13" t="s">
        <v>156</v>
      </c>
      <c r="B80" s="15" t="s">
        <v>157</v>
      </c>
      <c r="C80" s="15" t="s">
        <v>158</v>
      </c>
      <c r="D80" s="15" t="s">
        <v>159</v>
      </c>
      <c r="E80" s="15" t="s">
        <v>160</v>
      </c>
      <c r="F80" s="15" t="s">
        <v>161</v>
      </c>
      <c r="G80" s="16" t="s">
        <v>162</v>
      </c>
      <c r="H80" s="2"/>
    </row>
    <row r="81" spans="1:18" x14ac:dyDescent="0.3">
      <c r="A81" s="14" t="s">
        <v>10</v>
      </c>
      <c r="B81">
        <v>3.78</v>
      </c>
      <c r="C81">
        <v>4.0599999999999996</v>
      </c>
      <c r="D81">
        <v>4.13</v>
      </c>
      <c r="E81">
        <v>3.92</v>
      </c>
      <c r="F81">
        <v>3.61</v>
      </c>
      <c r="G81" s="5">
        <v>2.76</v>
      </c>
    </row>
    <row r="82" spans="1:18" x14ac:dyDescent="0.3">
      <c r="A82" s="14" t="s">
        <v>11</v>
      </c>
      <c r="B82">
        <v>87</v>
      </c>
      <c r="C82">
        <v>85</v>
      </c>
      <c r="D82">
        <v>91</v>
      </c>
      <c r="E82">
        <v>92</v>
      </c>
      <c r="F82">
        <v>85</v>
      </c>
      <c r="G82" s="5">
        <v>73</v>
      </c>
    </row>
    <row r="83" spans="1:18" x14ac:dyDescent="0.3">
      <c r="A83" s="14" t="s">
        <v>12</v>
      </c>
      <c r="B83">
        <v>81</v>
      </c>
      <c r="C83">
        <v>88</v>
      </c>
      <c r="D83">
        <v>90</v>
      </c>
      <c r="E83">
        <v>88</v>
      </c>
      <c r="F83">
        <v>82</v>
      </c>
      <c r="G83" s="5">
        <v>64</v>
      </c>
      <c r="I83" s="18" t="s">
        <v>180</v>
      </c>
    </row>
    <row r="84" spans="1:18" x14ac:dyDescent="0.3">
      <c r="A84" s="14" t="s">
        <v>13</v>
      </c>
      <c r="B84" s="1">
        <f>(B81*20+B82+B83)/3</f>
        <v>81.2</v>
      </c>
      <c r="C84" s="1">
        <f t="shared" ref="C84:G84" si="85">(C81*20+C82+C83)/3</f>
        <v>84.733333333333334</v>
      </c>
      <c r="D84" s="1">
        <f t="shared" si="85"/>
        <v>87.866666666666674</v>
      </c>
      <c r="E84" s="1">
        <f t="shared" si="85"/>
        <v>86.133333333333326</v>
      </c>
      <c r="F84" s="1">
        <f t="shared" si="85"/>
        <v>79.733333333333334</v>
      </c>
      <c r="G84" s="6">
        <f t="shared" si="85"/>
        <v>64.066666666666663</v>
      </c>
      <c r="I84" s="1">
        <f>AVERAGE(B84:G84)</f>
        <v>80.62222222222222</v>
      </c>
    </row>
    <row r="85" spans="1:18" ht="15" thickBot="1" x14ac:dyDescent="0.35">
      <c r="A85" s="14" t="s">
        <v>179</v>
      </c>
      <c r="B85" s="11">
        <f>B84/$I84</f>
        <v>1.0071664829106948</v>
      </c>
      <c r="C85" s="11">
        <f t="shared" ref="C85:G85" si="86">C84/$I84</f>
        <v>1.0509922822491731</v>
      </c>
      <c r="D85" s="11">
        <f t="shared" si="86"/>
        <v>1.0898566703417862</v>
      </c>
      <c r="E85" s="11">
        <f t="shared" si="86"/>
        <v>1.0683572216097021</v>
      </c>
      <c r="F85" s="11">
        <f t="shared" si="86"/>
        <v>0.98897464167585447</v>
      </c>
      <c r="G85" s="12">
        <f t="shared" si="86"/>
        <v>0.79465270121278941</v>
      </c>
    </row>
    <row r="86" spans="1:18" ht="15" thickBot="1" x14ac:dyDescent="0.35">
      <c r="A86" s="13" t="s">
        <v>163</v>
      </c>
      <c r="B86" s="9" t="s">
        <v>164</v>
      </c>
      <c r="C86" s="9" t="s">
        <v>165</v>
      </c>
      <c r="D86" s="9" t="s">
        <v>166</v>
      </c>
      <c r="E86" s="9" t="s">
        <v>167</v>
      </c>
      <c r="F86" s="9" t="s">
        <v>178</v>
      </c>
      <c r="G86" s="9" t="s">
        <v>168</v>
      </c>
      <c r="H86" s="9" t="s">
        <v>169</v>
      </c>
      <c r="I86" s="9" t="s">
        <v>170</v>
      </c>
      <c r="J86" s="9" t="s">
        <v>171</v>
      </c>
      <c r="K86" s="9" t="s">
        <v>172</v>
      </c>
      <c r="L86" s="9" t="s">
        <v>173</v>
      </c>
      <c r="M86" s="9" t="s">
        <v>174</v>
      </c>
      <c r="N86" s="9" t="s">
        <v>175</v>
      </c>
      <c r="O86" s="9" t="s">
        <v>176</v>
      </c>
      <c r="P86" s="10" t="s">
        <v>177</v>
      </c>
    </row>
    <row r="87" spans="1:18" x14ac:dyDescent="0.3">
      <c r="A87" s="14" t="s">
        <v>10</v>
      </c>
      <c r="B87">
        <v>3.48</v>
      </c>
      <c r="C87">
        <v>3.94</v>
      </c>
      <c r="D87">
        <v>3.85</v>
      </c>
      <c r="E87">
        <v>3.7</v>
      </c>
      <c r="F87">
        <v>3.27</v>
      </c>
      <c r="G87">
        <v>3.05</v>
      </c>
      <c r="H87">
        <v>2.58</v>
      </c>
      <c r="I87">
        <v>2.7</v>
      </c>
      <c r="J87">
        <v>2.92</v>
      </c>
      <c r="K87">
        <v>3.07</v>
      </c>
      <c r="L87">
        <v>2.9</v>
      </c>
      <c r="M87">
        <v>2.64</v>
      </c>
      <c r="N87">
        <v>2.4300000000000002</v>
      </c>
      <c r="O87">
        <v>2.65</v>
      </c>
      <c r="P87" s="5">
        <v>2.72</v>
      </c>
    </row>
    <row r="88" spans="1:18" x14ac:dyDescent="0.3">
      <c r="A88" s="14" t="s">
        <v>11</v>
      </c>
      <c r="B88">
        <v>87</v>
      </c>
      <c r="C88">
        <v>99</v>
      </c>
      <c r="D88">
        <v>90</v>
      </c>
      <c r="E88">
        <v>96</v>
      </c>
      <c r="F88">
        <v>68</v>
      </c>
      <c r="G88">
        <v>62</v>
      </c>
      <c r="H88">
        <v>62</v>
      </c>
      <c r="I88">
        <v>58</v>
      </c>
      <c r="J88">
        <v>58</v>
      </c>
      <c r="K88">
        <v>69</v>
      </c>
      <c r="L88">
        <v>73</v>
      </c>
      <c r="M88">
        <v>67</v>
      </c>
      <c r="N88">
        <v>65</v>
      </c>
      <c r="O88">
        <v>66</v>
      </c>
      <c r="P88" s="5">
        <v>76</v>
      </c>
    </row>
    <row r="89" spans="1:18" x14ac:dyDescent="0.3">
      <c r="A89" s="14" t="s">
        <v>12</v>
      </c>
      <c r="B89">
        <v>76</v>
      </c>
      <c r="C89">
        <v>87</v>
      </c>
      <c r="D89">
        <v>84</v>
      </c>
      <c r="E89">
        <v>78</v>
      </c>
      <c r="F89">
        <v>67</v>
      </c>
      <c r="G89">
        <v>61</v>
      </c>
      <c r="H89">
        <v>51</v>
      </c>
      <c r="I89">
        <v>56</v>
      </c>
      <c r="J89">
        <v>58</v>
      </c>
      <c r="K89">
        <v>71</v>
      </c>
      <c r="L89">
        <v>62</v>
      </c>
      <c r="M89">
        <v>55</v>
      </c>
      <c r="N89">
        <v>44</v>
      </c>
      <c r="O89">
        <v>52</v>
      </c>
      <c r="P89" s="5">
        <v>60</v>
      </c>
      <c r="R89" s="18" t="s">
        <v>180</v>
      </c>
    </row>
    <row r="90" spans="1:18" x14ac:dyDescent="0.3">
      <c r="A90" s="14" t="s">
        <v>13</v>
      </c>
      <c r="B90" s="1">
        <f>(B87*20+B88+B89)/3</f>
        <v>77.533333333333331</v>
      </c>
      <c r="C90" s="1">
        <f t="shared" ref="C90:P90" si="87">(C87*20+C88+C89)/3</f>
        <v>88.266666666666666</v>
      </c>
      <c r="D90" s="1">
        <f t="shared" si="87"/>
        <v>83.666666666666671</v>
      </c>
      <c r="E90" s="1">
        <f t="shared" si="87"/>
        <v>82.666666666666671</v>
      </c>
      <c r="F90" s="1">
        <f t="shared" si="87"/>
        <v>66.8</v>
      </c>
      <c r="G90" s="1">
        <f t="shared" si="87"/>
        <v>61.333333333333336</v>
      </c>
      <c r="H90" s="1">
        <f t="shared" si="87"/>
        <v>54.866666666666667</v>
      </c>
      <c r="I90" s="1">
        <f t="shared" si="87"/>
        <v>56</v>
      </c>
      <c r="J90" s="1">
        <f t="shared" si="87"/>
        <v>58.133333333333333</v>
      </c>
      <c r="K90" s="1">
        <f t="shared" si="87"/>
        <v>67.13333333333334</v>
      </c>
      <c r="L90" s="1">
        <f t="shared" si="87"/>
        <v>64.333333333333329</v>
      </c>
      <c r="M90" s="1">
        <f t="shared" si="87"/>
        <v>58.266666666666673</v>
      </c>
      <c r="N90" s="1">
        <f t="shared" si="87"/>
        <v>52.533333333333331</v>
      </c>
      <c r="O90" s="1">
        <f t="shared" si="87"/>
        <v>57</v>
      </c>
      <c r="P90" s="6">
        <f t="shared" si="87"/>
        <v>63.466666666666669</v>
      </c>
      <c r="R90" s="1">
        <f>AVERAGE(B90:P90)</f>
        <v>66.13333333333334</v>
      </c>
    </row>
    <row r="91" spans="1:18" ht="15" thickBot="1" x14ac:dyDescent="0.35">
      <c r="A91" s="17" t="s">
        <v>179</v>
      </c>
      <c r="B91" s="7">
        <f>B90/$R90</f>
        <v>1.1723790322580643</v>
      </c>
      <c r="C91" s="7">
        <f t="shared" ref="C91" si="88">C90/$R90</f>
        <v>1.3346774193548385</v>
      </c>
      <c r="D91" s="7">
        <f t="shared" ref="D91" si="89">D90/$R90</f>
        <v>1.2651209677419355</v>
      </c>
      <c r="E91" s="7">
        <f t="shared" ref="E91" si="90">E90/$R90</f>
        <v>1.25</v>
      </c>
      <c r="F91" s="7">
        <f t="shared" ref="F91" si="91">F90/$R90</f>
        <v>1.0100806451612903</v>
      </c>
      <c r="G91" s="7">
        <f t="shared" ref="G91" si="92">G90/$R90</f>
        <v>0.92741935483870963</v>
      </c>
      <c r="H91" s="7">
        <f t="shared" ref="H91" si="93">H90/$R90</f>
        <v>0.82963709677419351</v>
      </c>
      <c r="I91" s="7">
        <f t="shared" ref="I91" si="94">I90/$R90</f>
        <v>0.84677419354838701</v>
      </c>
      <c r="J91" s="7">
        <f t="shared" ref="J91" si="95">J90/$R90</f>
        <v>0.87903225806451601</v>
      </c>
      <c r="K91" s="7">
        <f t="shared" ref="K91" si="96">K90/$R90</f>
        <v>1.0151209677419355</v>
      </c>
      <c r="L91" s="7">
        <f t="shared" ref="L91" si="97">L90/$R90</f>
        <v>0.97278225806451601</v>
      </c>
      <c r="M91" s="7">
        <f t="shared" ref="M91" si="98">M90/$R90</f>
        <v>0.88104838709677424</v>
      </c>
      <c r="N91" s="7">
        <f t="shared" ref="N91" si="99">N90/$R90</f>
        <v>0.79435483870967727</v>
      </c>
      <c r="O91" s="7">
        <f t="shared" ref="O91" si="100">O90/$R90</f>
        <v>0.86189516129032251</v>
      </c>
      <c r="P91" s="8">
        <f>P90/$R90</f>
        <v>0.95967741935483863</v>
      </c>
    </row>
  </sheetData>
  <mergeCells count="2">
    <mergeCell ref="S1:AG1"/>
    <mergeCell ref="S17:AG1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Рогулин</dc:creator>
  <cp:lastModifiedBy>Артем Рогулин</cp:lastModifiedBy>
  <dcterms:created xsi:type="dcterms:W3CDTF">2015-06-05T18:19:34Z</dcterms:created>
  <dcterms:modified xsi:type="dcterms:W3CDTF">2024-12-04T02:40:30Z</dcterms:modified>
</cp:coreProperties>
</file>